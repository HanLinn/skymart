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5cab217c3947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x" sheetId="1" r:id="R72c064fdb67349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#,##0;[Red]-#,##0"/>
  </x:numFmts>
  <x:fonts count="8">
    <x:font>
      <x:sz val="11"/>
      <x:name val="Carlito"/>
    </x:font>
    <x:font>
      <x:b/>
      <x:sz val="14"/>
      <x:color rgb="FFFFFFFF"/>
      <x:name val="Carlito"/>
    </x:font>
    <x:font>
      <x:i/>
      <x:sz val="10"/>
      <x:color rgb="FF44546A"/>
      <x:name val="Carlito"/>
    </x:font>
    <x:font>
      <x:b/>
      <x:sz val="11"/>
      <x:color rgb="FF163A43"/>
      <x:name val="Carlito"/>
    </x:font>
    <x:font>
      <x:sz val="10"/>
      <x:color rgb="FF163A43"/>
      <x:name val="Carlito"/>
    </x:font>
    <x:font>
      <x:b/>
      <x:sz val="10"/>
      <x:color rgb="FF375623"/>
      <x:name val="Carlito"/>
    </x:font>
    <x:font>
      <x:sz val="9"/>
      <x:color rgb="FF44546A"/>
      <x:name val="Carlito"/>
    </x:font>
    <x:font>
      <x:b/>
      <x:sz val="11"/>
      <x:color rgb="FF7F60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CE6F1"/>
      </x:patternFill>
    </x:fill>
    <x:fill>
      <x:patternFill patternType="solid">
        <x:fgColor rgb="FF8FCAD3"/>
      </x:patternFill>
    </x:fill>
    <x:fill>
      <x:patternFill patternType="solid">
        <x:fgColor rgb="FFD9EEF1"/>
      </x:patternFill>
    </x:fill>
    <x:fill>
      <x:patternFill patternType="solid">
        <x:fgColor rgb="FFE2F0D9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</x:fills>
  <x:borders count="1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FFFFFF"/>
      </x:right>
      <x:bottom style="thin">
        <x:color rgb="FFFFFFFF"/>
      </x:bottom>
    </x:border>
    <x:border>
      <x:left style="thin">
        <x:color rgb="FFFFFFFF"/>
      </x:left>
      <x:right style="thin">
        <x:color rgb="FFFFFFFF"/>
      </x:right>
      <x:bottom style="thin">
        <x:color rgb="FFFFFFFF"/>
      </x:bottom>
    </x:border>
    <x:border>
      <x:left style="thin">
        <x:color rgb="FFFFFFFF"/>
      </x:left>
      <x:bottom style="thin">
        <x:color rgb="FFFFFFFF"/>
      </x:bottom>
    </x:border>
    <x:border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FFFFFF"/>
      </x:left>
      <x:top style="thin">
        <x:color rgb="FFFFFFFF"/>
      </x:top>
      <x:bottom style="thin">
        <x:color rgb="FFFFFFFF"/>
      </x:bottom>
    </x:border>
    <x:border>
      <x:right style="thin">
        <x:color rgb="FFFFFFFF"/>
      </x:right>
      <x:top style="thin">
        <x:color rgb="FFFFFFFF"/>
      </x:top>
    </x:border>
    <x:border>
      <x:left style="thin">
        <x:color rgb="FFFFFFFF"/>
      </x:left>
      <x:right style="thin">
        <x:color rgb="FFFFFFFF"/>
      </x:right>
      <x:top style="thin">
        <x:color rgb="FFFFFFFF"/>
      </x:top>
    </x:border>
    <x:border>
      <x:left style="thin">
        <x:color rgb="FFFFFFFF"/>
      </x:left>
      <x:top style="thin">
        <x:color rgb="FFFFFFFF"/>
      </x:top>
    </x:border>
    <x:border>
      <x:left style="thin">
        <x:color rgb="FFD6B656"/>
      </x:left>
      <x:right style="thin">
        <x:color rgb="FFD6B656"/>
      </x:right>
      <x:top style="thin">
        <x:color rgb="FFD6B656"/>
      </x:top>
    </x:border>
    <x:border>
      <x:left style="thin">
        <x:color rgb="FFD6B656"/>
      </x:left>
      <x:right style="thin">
        <x:color rgb="FFD6B656"/>
      </x:right>
      <x:bottom style="thin">
        <x:color rgb="FFD6B656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1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2" xfId="0" applyNumberFormat="1" applyFont="1" applyFill="1" applyBorder="1" applyAlignment="1">
      <x:alignment vertical="center"/>
    </x:xf>
    <x:xf numFmtId="0" fontId="4" fillId="5" borderId="3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vertical="center"/>
    </x:xf>
    <x:xf numFmtId="0" fontId="4" fillId="5" borderId="7" xfId="0" applyNumberFormat="1" applyFont="1" applyFill="1" applyBorder="1" applyAlignment="1">
      <x:alignment vertical="center"/>
    </x:xf>
    <x:xf numFmtId="0" fontId="4" fillId="5" borderId="8" xfId="0" applyNumberFormat="1" applyFont="1" applyFill="1" applyBorder="1" applyAlignment="1">
      <x:alignment vertical="center"/>
    </x:xf>
    <x:xf numFmtId="0" fontId="4" fillId="5" borderId="9" xfId="0" applyNumberFormat="1" applyFont="1" applyFill="1" applyBorder="1" applyAlignment="1">
      <x:alignment vertical="center"/>
    </x:xf>
    <x:xf numFmtId="200" fontId="4" fillId="5" borderId="2" xfId="0" applyNumberFormat="1" applyFont="1" applyFill="1" applyBorder="1" applyAlignment="1">
      <x:alignment vertical="center"/>
    </x:xf>
    <x:xf numFmtId="200" fontId="4" fillId="5" borderId="5" xfId="0" applyNumberFormat="1" applyFont="1" applyFill="1" applyBorder="1" applyAlignment="1">
      <x:alignment vertical="center"/>
    </x:xf>
    <x:xf numFmtId="200" fontId="4" fillId="5" borderId="7" xfId="0" applyNumberFormat="1" applyFont="1" applyFill="1" applyBorder="1" applyAlignment="1">
      <x:alignment vertical="center"/>
    </x:xf>
    <x:xf numFmtId="201" fontId="4" fillId="5" borderId="3" xfId="0" applyNumberFormat="1" applyFont="1" applyFill="1" applyBorder="1" applyAlignment="1">
      <x:alignment vertical="center"/>
    </x:xf>
    <x:xf numFmtId="201" fontId="4" fillId="5" borderId="1" xfId="0" applyNumberFormat="1" applyFont="1" applyFill="1" applyBorder="1" applyAlignment="1">
      <x:alignment vertical="center"/>
    </x:xf>
    <x:xf numFmtId="201" fontId="4" fillId="5" borderId="8" xfId="0" applyNumberFormat="1" applyFont="1" applyFill="1" applyBorder="1" applyAlignment="1">
      <x:alignment vertical="center"/>
    </x:xf>
    <x:xf numFmtId="201" fontId="4" fillId="5" borderId="3" xfId="0" applyNumberFormat="1" applyFont="1" applyFill="1" applyBorder="1" applyAlignment="1">
      <x:alignment horizontal="right" vertical="center"/>
    </x:xf>
    <x:xf numFmtId="201" fontId="4" fillId="5" borderId="1" xfId="0" applyNumberFormat="1" applyFont="1" applyFill="1" applyBorder="1" applyAlignment="1">
      <x:alignment horizontal="right" vertical="center"/>
    </x:xf>
    <x:xf numFmtId="201" fontId="4" fillId="5" borderId="8" xfId="0" applyNumberFormat="1" applyFont="1" applyFill="1" applyBorder="1" applyAlignment="1">
      <x:alignment horizontal="right" vertical="center"/>
    </x:xf>
    <x:xf numFmtId="200" fontId="4" fillId="5" borderId="2" xfId="0" applyNumberFormat="1" applyFont="1" applyFill="1" applyBorder="1" applyAlignment="1">
      <x:alignment horizontal="center" vertical="center"/>
    </x:xf>
    <x:xf numFmtId="200" fontId="4" fillId="5" borderId="5" xfId="0" applyNumberFormat="1" applyFont="1" applyFill="1" applyBorder="1" applyAlignment="1">
      <x:alignment horizontal="center" vertical="center"/>
    </x:xf>
    <x:xf numFmtId="200" fontId="4" fillId="5" borderId="7" xfId="0" applyNumberFormat="1" applyFont="1" applyFill="1" applyBorder="1" applyAlignment="1">
      <x:alignment horizontal="center" vertical="center"/>
    </x:xf>
    <x:xf numFmtId="0" fontId="4" fillId="6" borderId="3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vertical="center"/>
    </x:xf>
    <x:xf numFmtId="0" fontId="4" fillId="6" borderId="8" xfId="0" applyNumberFormat="1" applyFont="1" applyFill="1" applyBorder="1" applyAlignment="1">
      <x:alignment vertical="center"/>
    </x:xf>
    <x:xf numFmtId="0" fontId="5" fillId="6" borderId="3" xfId="0" applyNumberFormat="1" applyFont="1" applyFill="1" applyBorder="1" applyAlignment="1">
      <x:alignment vertical="center"/>
    </x:xf>
    <x:xf numFmtId="0" fontId="5" fillId="6" borderId="1" xfId="0" applyNumberFormat="1" applyFont="1" applyFill="1" applyBorder="1" applyAlignment="1">
      <x:alignment vertical="center"/>
    </x:xf>
    <x:xf numFmtId="0" fontId="5" fillId="6" borderId="8" xfId="0" applyNumberFormat="1" applyFont="1" applyFill="1" applyBorder="1" applyAlignment="1">
      <x:alignment vertical="center"/>
    </x:xf>
    <x:xf numFmtId="0" fontId="5" fillId="6" borderId="3" xfId="0" applyNumberFormat="1" applyFont="1" applyFill="1" applyBorder="1" applyAlignment="1">
      <x:alignment horizontal="center" vertical="center"/>
    </x:xf>
    <x:xf numFmtId="0" fontId="5" fillId="6" borderId="1" xfId="0" applyNumberFormat="1" applyFont="1" applyFill="1" applyBorder="1" applyAlignment="1">
      <x:alignment horizontal="center" vertical="center"/>
    </x:xf>
    <x:xf numFmtId="0" fontId="5" fillId="6" borderId="8" xfId="0" applyNumberFormat="1" applyFont="1" applyFill="1" applyBorder="1" applyAlignment="1">
      <x:alignment horizontal="center" vertical="center"/>
    </x:xf>
    <x:xf numFmtId="0" fontId="4" fillId="7" borderId="4" xfId="0" applyNumberFormat="1" applyFont="1" applyFill="1" applyBorder="1" applyAlignment="1">
      <x:alignment vertical="center"/>
    </x:xf>
    <x:xf numFmtId="0" fontId="4" fillId="7" borderId="6" xfId="0" applyNumberFormat="1" applyFont="1" applyFill="1" applyBorder="1" applyAlignment="1">
      <x:alignment vertical="center"/>
    </x:xf>
    <x:xf numFmtId="0" fontId="4" fillId="7" borderId="9" xfId="0" applyNumberFormat="1" applyFont="1" applyFill="1" applyBorder="1" applyAlignment="1">
      <x:alignment vertical="center"/>
    </x:xf>
    <x:xf numFmtId="0" fontId="6" fillId="7" borderId="4" xfId="0" applyNumberFormat="1" applyFont="1" applyFill="1" applyBorder="1" applyAlignment="1">
      <x:alignment vertical="center"/>
    </x:xf>
    <x:xf numFmtId="0" fontId="6" fillId="7" borderId="6" xfId="0" applyNumberFormat="1" applyFont="1" applyFill="1" applyBorder="1" applyAlignment="1">
      <x:alignment vertical="center"/>
    </x:xf>
    <x:xf numFmtId="0" fontId="6" fillId="7" borderId="9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10" xfId="0" applyNumberFormat="1" applyFont="1" applyFill="1" applyBorder="1"/>
    <x:xf numFmtId="0" fontId="7" fillId="8" borderId="11" xfId="0" applyNumberFormat="1" applyFont="1" applyFill="1" applyBorder="1"/>
    <x:xf numFmtId="201" fontId="7" fillId="8" borderId="1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3b80d27fb44764" /><Relationship Type="http://schemas.openxmlformats.org/officeDocument/2006/relationships/theme" Target="/xl/theme/theme1.xml" Id="R8dfa8244708a4f9d" /><Relationship Type="http://schemas.openxmlformats.org/officeDocument/2006/relationships/sharedStrings" Target="/xl/sharedStrings.xml" Id="Rfe09e040cb9c485f" /><Relationship Type="http://schemas.openxmlformats.org/officeDocument/2006/relationships/worksheet" Target="/xl/worksheets/sheet1.xml" Id="R72c064fdb67349da" /></Relationships>
</file>

<file path=xl/tables/table1.xml><?xml version="1.0" encoding="utf-8"?>
<x:table xmlns:x="http://schemas.openxmlformats.org/spreadsheetml/2006/main" id="1" name="LxTable" displayName="LxTable" ref="A4:H157" headerRowCount="1" totalsRowCount="0" totalsRowShown="0">
  <x:autoFilter ref="A4:H157"/>
  <x:tableColumns count="8">
    <x:tableColumn id="1" name="Date"/>
    <x:tableColumn id="2" name="Debit"/>
    <x:tableColumn id="3" name="Credit"/>
    <x:tableColumn id="4" name="Running Balance"/>
    <x:tableColumn id="5" name="Reported Balance"/>
    <x:tableColumn id="6" name="Gap Difference"/>
    <x:tableColumn id="7" name="Gap Check"/>
    <x:tableColumn id="8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279ecf065e43e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3" hidden="0" customWidth="1"/>
    <x:col min="8" max="8" width="18" hidden="0" customWidth="1"/>
  </x:cols>
  <x:sheetData>
    <x:row r="1" ht="26" customHeight="1">
      <x:c r="A1" s="4" t="str">
        <x:v>Lx — Transaction Log and Gap Check</x:v>
      </x:c>
      <x:c r="B1" s="4"/>
      <x:c r="C1" s="4"/>
      <x:c r="D1" s="4"/>
      <x:c r="E1" s="4"/>
      <x:c r="F1" s="4"/>
      <x:c r="G1" s="4"/>
      <x:c r="H1" s="4"/>
      <x:c r="J1" s="62" t="str">
        <x:v>Opening balance</x:v>
      </x:c>
    </x:row>
    <x:row r="2" ht="20" customHeight="1">
      <x:c r="A2" s="7" t="str">
        <x:v>Running Balance is formula-driven. Gap Difference compares it with the balance shown in the screenshots.</x:v>
      </x:c>
      <x:c r="B2" s="7"/>
      <x:c r="C2" s="7"/>
      <x:c r="D2" s="7"/>
      <x:c r="E2" s="7"/>
      <x:c r="F2" s="7"/>
      <x:c r="G2" s="7"/>
      <x:c r="H2" s="7"/>
      <x:c r="J2" s="64" t="n">
        <x:v>2446091</x:v>
      </x:c>
    </x:row>
    <x:row r="4" ht="21" customHeight="1">
      <x:c r="A4" s="12" t="str">
        <x:v>Date</x:v>
      </x:c>
      <x:c r="B4" s="12" t="str">
        <x:v>Debit</x:v>
      </x:c>
      <x:c r="C4" s="12" t="str">
        <x:v>Credit</x:v>
      </x:c>
      <x:c r="D4" s="12" t="str">
        <x:v>Running Balance</x:v>
      </x:c>
      <x:c r="E4" s="12" t="str">
        <x:v>Reported Balance</x:v>
      </x:c>
      <x:c r="F4" s="12" t="str">
        <x:v>Gap Difference</x:v>
      </x:c>
      <x:c r="G4" s="12" t="str">
        <x:v>Gap Check</x:v>
      </x:c>
      <x:c r="H4" s="12" t="str">
        <x:v>Note</x:v>
      </x:c>
    </x:row>
    <x:row r="5" ht="20" customHeight="1">
      <x:c r="A5" s="42" t="n">
        <x:v>46243</x:v>
      </x:c>
      <x:c r="B5" s="39" t="n">
        <x:v>-1473995</x:v>
      </x:c>
      <x:c r="C5" s="39"/>
      <x:c r="D5" s="39" t="n">
        <x:f>$J$2+B5+C5</x:f>
        <x:v>972096</x:v>
      </x:c>
      <x:c r="E5" s="39" t="n">
        <x:v>972096</x:v>
      </x:c>
      <x:c r="F5" s="39" t="n">
        <x:f>D5-E5</x:f>
        <x:v>0</x:v>
      </x:c>
      <x:c r="G5" s="51" t="str">
        <x:f>IF(F5=0,"OK","CHECK GAP")</x:f>
        <x:v>OK</x:v>
      </x:c>
      <x:c r="H5" s="57"/>
    </x:row>
    <x:row r="6" ht="20" customHeight="1">
      <x:c r="A6" s="43" t="n">
        <x:v>46244</x:v>
      </x:c>
      <x:c r="B6" s="40" t="n">
        <x:v>-610600</x:v>
      </x:c>
      <x:c r="C6" s="40"/>
      <x:c r="D6" s="40" t="n">
        <x:f>D5+B6+C6</x:f>
        <x:v>361496</x:v>
      </x:c>
      <x:c r="E6" s="40" t="n">
        <x:v>361496</x:v>
      </x:c>
      <x:c r="F6" s="40" t="n">
        <x:f>D6-E6</x:f>
        <x:v>0</x:v>
      </x:c>
      <x:c r="G6" s="52" t="str">
        <x:f>IF(F6=0,"OK","CHECK GAP")</x:f>
        <x:v>OK</x:v>
      </x:c>
      <x:c r="H6" s="58"/>
    </x:row>
    <x:row r="7" ht="20" customHeight="1">
      <x:c r="A7" s="43" t="n">
        <x:v>46242</x:v>
      </x:c>
      <x:c r="B7" s="40"/>
      <x:c r="C7" s="40" t="n">
        <x:v>50000</x:v>
      </x:c>
      <x:c r="D7" s="40" t="n">
        <x:f>D6+B7+C7</x:f>
        <x:v>411496</x:v>
      </x:c>
      <x:c r="E7" s="40" t="n">
        <x:v>411496</x:v>
      </x:c>
      <x:c r="F7" s="40" t="n">
        <x:f>D7-E7</x:f>
        <x:v>0</x:v>
      </x:c>
      <x:c r="G7" s="52" t="str">
        <x:f>IF(F7=0,"OK","CHECK GAP")</x:f>
        <x:v>OK</x:v>
      </x:c>
      <x:c r="H7" s="58" t="str">
        <x:v>5.13</x:v>
      </x:c>
    </x:row>
    <x:row r="8" ht="20" customHeight="1">
      <x:c r="A8" s="43" t="n">
        <x:v>46242</x:v>
      </x:c>
      <x:c r="B8" s="40"/>
      <x:c r="C8" s="40" t="n">
        <x:v>50000</x:v>
      </x:c>
      <x:c r="D8" s="40" t="n">
        <x:f>D7+B8+C8</x:f>
        <x:v>461496</x:v>
      </x:c>
      <x:c r="E8" s="40" t="n">
        <x:v>461496</x:v>
      </x:c>
      <x:c r="F8" s="40" t="n">
        <x:f>D8-E8</x:f>
        <x:v>0</x:v>
      </x:c>
      <x:c r="G8" s="52" t="str">
        <x:f>IF(F8=0,"OK","CHECK GAP")</x:f>
        <x:v>OK</x:v>
      </x:c>
      <x:c r="H8" s="58" t="str">
        <x:v>18.07</x:v>
      </x:c>
    </x:row>
    <x:row r="9" ht="20" customHeight="1">
      <x:c r="A9" s="43" t="n">
        <x:v>46242</x:v>
      </x:c>
      <x:c r="B9" s="40"/>
      <x:c r="C9" s="40" t="n">
        <x:v>53000</x:v>
      </x:c>
      <x:c r="D9" s="40" t="n">
        <x:f>D8+B9+C9</x:f>
        <x:v>514496</x:v>
      </x:c>
      <x:c r="E9" s="40" t="n">
        <x:v>514496</x:v>
      </x:c>
      <x:c r="F9" s="40" t="n">
        <x:f>D9-E9</x:f>
        <x:v>0</x:v>
      </x:c>
      <x:c r="G9" s="52" t="str">
        <x:f>IF(F9=0,"OK","CHECK GAP")</x:f>
        <x:v>OK</x:v>
      </x:c>
      <x:c r="H9" s="58" t="str">
        <x:v>18.30</x:v>
      </x:c>
    </x:row>
    <x:row r="10" ht="20" customHeight="1">
      <x:c r="A10" s="43" t="n">
        <x:v>46242</x:v>
      </x:c>
      <x:c r="B10" s="40"/>
      <x:c r="C10" s="40" t="n">
        <x:v>100000</x:v>
      </x:c>
      <x:c r="D10" s="40" t="n">
        <x:f>D9+B10+C10</x:f>
        <x:v>614496</x:v>
      </x:c>
      <x:c r="E10" s="40" t="n">
        <x:v>614496</x:v>
      </x:c>
      <x:c r="F10" s="40" t="n">
        <x:f>D10-E10</x:f>
        <x:v>0</x:v>
      </x:c>
      <x:c r="G10" s="52" t="str">
        <x:f>IF(F10=0,"OK","CHECK GAP")</x:f>
        <x:v>OK</x:v>
      </x:c>
      <x:c r="H10" s="58" t="str">
        <x:v>18.31</x:v>
      </x:c>
    </x:row>
    <x:row r="11" ht="20" customHeight="1">
      <x:c r="A11" s="43" t="n">
        <x:v>46242</x:v>
      </x:c>
      <x:c r="B11" s="40"/>
      <x:c r="C11" s="40" t="n">
        <x:v>47000</x:v>
      </x:c>
      <x:c r="D11" s="40" t="n">
        <x:f>D10+B11+C11</x:f>
        <x:v>661496</x:v>
      </x:c>
      <x:c r="E11" s="40" t="n">
        <x:v>661496</x:v>
      </x:c>
      <x:c r="F11" s="40" t="n">
        <x:f>D11-E11</x:f>
        <x:v>0</x:v>
      </x:c>
      <x:c r="G11" s="52" t="str">
        <x:f>IF(F11=0,"OK","CHECK GAP")</x:f>
        <x:v>OK</x:v>
      </x:c>
      <x:c r="H11" s="58" t="str">
        <x:v>18.46</x:v>
      </x:c>
    </x:row>
    <x:row r="12" ht="20" customHeight="1">
      <x:c r="A12" s="43" t="n">
        <x:v>46242</x:v>
      </x:c>
      <x:c r="B12" s="40"/>
      <x:c r="C12" s="40" t="n">
        <x:v>40000</x:v>
      </x:c>
      <x:c r="D12" s="40" t="n">
        <x:f>D11+B12+C12</x:f>
        <x:v>701496</x:v>
      </x:c>
      <x:c r="E12" s="40" t="n">
        <x:v>701496</x:v>
      </x:c>
      <x:c r="F12" s="40" t="n">
        <x:f>D12-E12</x:f>
        <x:v>0</x:v>
      </x:c>
      <x:c r="G12" s="52" t="str">
        <x:f>IF(F12=0,"OK","CHECK GAP")</x:f>
        <x:v>OK</x:v>
      </x:c>
      <x:c r="H12" s="58" t="str">
        <x:v>5.10</x:v>
      </x:c>
    </x:row>
    <x:row r="13" ht="20" customHeight="1">
      <x:c r="A13" s="43" t="n">
        <x:v>46242</x:v>
      </x:c>
      <x:c r="B13" s="40"/>
      <x:c r="C13" s="40" t="n">
        <x:v>300000</x:v>
      </x:c>
      <x:c r="D13" s="40" t="n">
        <x:f>D12+B13+C13</x:f>
        <x:v>1001496</x:v>
      </x:c>
      <x:c r="E13" s="40" t="n">
        <x:v>1001496</x:v>
      </x:c>
      <x:c r="F13" s="40" t="n">
        <x:f>D13-E13</x:f>
        <x:v>0</x:v>
      </x:c>
      <x:c r="G13" s="52" t="str">
        <x:f>IF(F13=0,"OK","CHECK GAP")</x:f>
        <x:v>OK</x:v>
      </x:c>
      <x:c r="H13" s="58" t="str">
        <x:v>19.38</x:v>
      </x:c>
    </x:row>
    <x:row r="14" ht="20" customHeight="1">
      <x:c r="A14" s="43" t="n">
        <x:v>46242</x:v>
      </x:c>
      <x:c r="B14" s="40"/>
      <x:c r="C14" s="40" t="n">
        <x:v>45000</x:v>
      </x:c>
      <x:c r="D14" s="40" t="n">
        <x:f>D13+B14+C14</x:f>
        <x:v>1046496</x:v>
      </x:c>
      <x:c r="E14" s="40" t="n">
        <x:v>1046496</x:v>
      </x:c>
      <x:c r="F14" s="40" t="n">
        <x:f>D14-E14</x:f>
        <x:v>0</x:v>
      </x:c>
      <x:c r="G14" s="52" t="str">
        <x:f>IF(F14=0,"OK","CHECK GAP")</x:f>
        <x:v>OK</x:v>
      </x:c>
      <x:c r="H14" s="58" t="str">
        <x:v>7.14</x:v>
      </x:c>
    </x:row>
    <x:row r="15" ht="20" customHeight="1">
      <x:c r="A15" s="43" t="n">
        <x:v>46242</x:v>
      </x:c>
      <x:c r="B15" s="40"/>
      <x:c r="C15" s="40" t="n">
        <x:v>49500</x:v>
      </x:c>
      <x:c r="D15" s="40" t="n">
        <x:f>D14+B15+C15</x:f>
        <x:v>1095996</x:v>
      </x:c>
      <x:c r="E15" s="40" t="n">
        <x:v>1095996</x:v>
      </x:c>
      <x:c r="F15" s="40" t="n">
        <x:f>D15-E15</x:f>
        <x:v>0</x:v>
      </x:c>
      <x:c r="G15" s="52" t="str">
        <x:f>IF(F15=0,"OK","CHECK GAP")</x:f>
        <x:v>OK</x:v>
      </x:c>
      <x:c r="H15" s="58" t="str">
        <x:v>7.14</x:v>
      </x:c>
    </x:row>
    <x:row r="16" ht="20" customHeight="1">
      <x:c r="A16" s="43" t="n">
        <x:v>46242</x:v>
      </x:c>
      <x:c r="B16" s="40"/>
      <x:c r="C16" s="40" t="n">
        <x:v>42400</x:v>
      </x:c>
      <x:c r="D16" s="40" t="n">
        <x:f>D15+B16+C16</x:f>
        <x:v>1138396</x:v>
      </x:c>
      <x:c r="E16" s="40" t="n">
        <x:v>1138396</x:v>
      </x:c>
      <x:c r="F16" s="40" t="n">
        <x:f>D16-E16</x:f>
        <x:v>0</x:v>
      </x:c>
      <x:c r="G16" s="52" t="str">
        <x:f>IF(F16=0,"OK","CHECK GAP")</x:f>
        <x:v>OK</x:v>
      </x:c>
      <x:c r="H16" s="58" t="str">
        <x:v>19.35</x:v>
      </x:c>
    </x:row>
    <x:row r="17" ht="20" customHeight="1">
      <x:c r="A17" s="43" t="n">
        <x:v>46242</x:v>
      </x:c>
      <x:c r="B17" s="40"/>
      <x:c r="C17" s="40" t="n">
        <x:v>33600</x:v>
      </x:c>
      <x:c r="D17" s="40" t="n">
        <x:f>D16+B17+C17</x:f>
        <x:v>1171996</x:v>
      </x:c>
      <x:c r="E17" s="40" t="n">
        <x:v>1171996</x:v>
      </x:c>
      <x:c r="F17" s="40" t="n">
        <x:f>D17-E17</x:f>
        <x:v>0</x:v>
      </x:c>
      <x:c r="G17" s="52" t="str">
        <x:f>IF(F17=0,"OK","CHECK GAP")</x:f>
        <x:v>OK</x:v>
      </x:c>
      <x:c r="H17" s="58" t="str">
        <x:v>19.34</x:v>
      </x:c>
    </x:row>
    <x:row r="18" ht="20" customHeight="1">
      <x:c r="A18" s="43" t="n">
        <x:v>46242</x:v>
      </x:c>
      <x:c r="B18" s="40"/>
      <x:c r="C18" s="40" t="n">
        <x:v>40000</x:v>
      </x:c>
      <x:c r="D18" s="40" t="n">
        <x:f>D17+B18+C18</x:f>
        <x:v>1211996</x:v>
      </x:c>
      <x:c r="E18" s="40" t="n">
        <x:v>1211996</x:v>
      </x:c>
      <x:c r="F18" s="40" t="n">
        <x:f>D18-E18</x:f>
        <x:v>0</x:v>
      </x:c>
      <x:c r="G18" s="52" t="str">
        <x:f>IF(F18=0,"OK","CHECK GAP")</x:f>
        <x:v>OK</x:v>
      </x:c>
      <x:c r="H18" s="58" t="str">
        <x:v>19.38</x:v>
      </x:c>
    </x:row>
    <x:row r="19" ht="20" customHeight="1">
      <x:c r="A19" s="43" t="n">
        <x:v>46242</x:v>
      </x:c>
      <x:c r="B19" s="40"/>
      <x:c r="C19" s="40" t="n">
        <x:v>36000</x:v>
      </x:c>
      <x:c r="D19" s="40" t="n">
        <x:f>D18+B19+C19</x:f>
        <x:v>1247996</x:v>
      </x:c>
      <x:c r="E19" s="40" t="n">
        <x:v>1247996</x:v>
      </x:c>
      <x:c r="F19" s="40" t="n">
        <x:f>D19-E19</x:f>
        <x:v>0</x:v>
      </x:c>
      <x:c r="G19" s="52" t="str">
        <x:f>IF(F19=0,"OK","CHECK GAP")</x:f>
        <x:v>OK</x:v>
      </x:c>
      <x:c r="H19" s="58" t="str">
        <x:v>19.39</x:v>
      </x:c>
    </x:row>
    <x:row r="20" ht="20" customHeight="1">
      <x:c r="A20" s="43" t="n">
        <x:v>46242</x:v>
      </x:c>
      <x:c r="B20" s="40"/>
      <x:c r="C20" s="40" t="n">
        <x:v>49900</x:v>
      </x:c>
      <x:c r="D20" s="40" t="n">
        <x:f>D19+B20+C20</x:f>
        <x:v>1297896</x:v>
      </x:c>
      <x:c r="E20" s="40" t="n">
        <x:v>1297896</x:v>
      </x:c>
      <x:c r="F20" s="40" t="n">
        <x:f>D20-E20</x:f>
        <x:v>0</x:v>
      </x:c>
      <x:c r="G20" s="52" t="str">
        <x:f>IF(F20=0,"OK","CHECK GAP")</x:f>
        <x:v>OK</x:v>
      </x:c>
      <x:c r="H20" s="58" t="str">
        <x:v>7.41</x:v>
      </x:c>
    </x:row>
    <x:row r="21" ht="20" customHeight="1">
      <x:c r="A21" s="43" t="n">
        <x:v>46242</x:v>
      </x:c>
      <x:c r="B21" s="40"/>
      <x:c r="C21" s="40" t="n">
        <x:v>41580</x:v>
      </x:c>
      <x:c r="D21" s="40" t="n">
        <x:f>D20+B21+C21</x:f>
        <x:v>1339476</x:v>
      </x:c>
      <x:c r="E21" s="40" t="n">
        <x:v>1339476</x:v>
      </x:c>
      <x:c r="F21" s="40" t="n">
        <x:f>D21-E21</x:f>
        <x:v>0</x:v>
      </x:c>
      <x:c r="G21" s="52" t="str">
        <x:f>IF(F21=0,"OK","CHECK GAP")</x:f>
        <x:v>OK</x:v>
      </x:c>
      <x:c r="H21" s="58" t="str">
        <x:v>7.46</x:v>
      </x:c>
    </x:row>
    <x:row r="22" ht="20" customHeight="1">
      <x:c r="A22" s="43" t="n">
        <x:v>46242</x:v>
      </x:c>
      <x:c r="B22" s="40"/>
      <x:c r="C22" s="40" t="n">
        <x:v>155150</x:v>
      </x:c>
      <x:c r="D22" s="40" t="n">
        <x:f>D21+B22+C22</x:f>
        <x:v>1494626</x:v>
      </x:c>
      <x:c r="E22" s="40" t="n">
        <x:v>1494626</x:v>
      </x:c>
      <x:c r="F22" s="40" t="n">
        <x:f>D22-E22</x:f>
        <x:v>0</x:v>
      </x:c>
      <x:c r="G22" s="52" t="str">
        <x:f>IF(F22=0,"OK","CHECK GAP")</x:f>
        <x:v>OK</x:v>
      </x:c>
      <x:c r="H22" s="58" t="str">
        <x:v>11.52</x:v>
      </x:c>
    </x:row>
    <x:row r="23" ht="20" customHeight="1">
      <x:c r="A23" s="43" t="n">
        <x:v>46243</x:v>
      </x:c>
      <x:c r="B23" s="40"/>
      <x:c r="C23" s="40" t="n">
        <x:v>23130</x:v>
      </x:c>
      <x:c r="D23" s="40" t="n">
        <x:f>D22+B23+C23</x:f>
        <x:v>1517756</x:v>
      </x:c>
      <x:c r="E23" s="40" t="n">
        <x:v>1517756</x:v>
      </x:c>
      <x:c r="F23" s="40" t="n">
        <x:f>D23-E23</x:f>
        <x:v>0</x:v>
      </x:c>
      <x:c r="G23" s="52" t="str">
        <x:f>IF(F23=0,"OK","CHECK GAP")</x:f>
        <x:v>OK</x:v>
      </x:c>
      <x:c r="H23" s="58" t="str">
        <x:v>11.29</x:v>
      </x:c>
    </x:row>
    <x:row r="24" ht="20" customHeight="1">
      <x:c r="A24" s="43" t="n">
        <x:v>46243</x:v>
      </x:c>
      <x:c r="B24" s="40"/>
      <x:c r="C24" s="40" t="n">
        <x:v>40000</x:v>
      </x:c>
      <x:c r="D24" s="40" t="n">
        <x:f>D23+B24+C24</x:f>
        <x:v>1557756</x:v>
      </x:c>
      <x:c r="E24" s="40" t="n">
        <x:v>1557756</x:v>
      </x:c>
      <x:c r="F24" s="40" t="n">
        <x:f>D24-E24</x:f>
        <x:v>0</x:v>
      </x:c>
      <x:c r="G24" s="52" t="str">
        <x:f>IF(F24=0,"OK","CHECK GAP")</x:f>
        <x:v>OK</x:v>
      </x:c>
      <x:c r="H24" s="58" t="str">
        <x:v>13.57</x:v>
      </x:c>
    </x:row>
    <x:row r="25" ht="20" customHeight="1">
      <x:c r="A25" s="43" t="n">
        <x:v>46243</x:v>
      </x:c>
      <x:c r="B25" s="40"/>
      <x:c r="C25" s="40" t="n">
        <x:v>49475</x:v>
      </x:c>
      <x:c r="D25" s="40" t="n">
        <x:f>D24+B25+C25</x:f>
        <x:v>1607231</x:v>
      </x:c>
      <x:c r="E25" s="40" t="n">
        <x:v>1607231</x:v>
      </x:c>
      <x:c r="F25" s="40" t="n">
        <x:f>D25-E25</x:f>
        <x:v>0</x:v>
      </x:c>
      <x:c r="G25" s="52" t="str">
        <x:f>IF(F25=0,"OK","CHECK GAP")</x:f>
        <x:v>OK</x:v>
      </x:c>
      <x:c r="H25" s="58" t="str">
        <x:v>13.55</x:v>
      </x:c>
    </x:row>
    <x:row r="26" ht="20" customHeight="1">
      <x:c r="A26" s="43" t="n">
        <x:v>46243</x:v>
      </x:c>
      <x:c r="B26" s="40"/>
      <x:c r="C26" s="40" t="n">
        <x:v>69500</x:v>
      </x:c>
      <x:c r="D26" s="40" t="n">
        <x:f>D25+B26+C26</x:f>
        <x:v>1676731</x:v>
      </x:c>
      <x:c r="E26" s="40" t="n">
        <x:v>1676731</x:v>
      </x:c>
      <x:c r="F26" s="40" t="n">
        <x:f>D26-E26</x:f>
        <x:v>0</x:v>
      </x:c>
      <x:c r="G26" s="52" t="str">
        <x:f>IF(F26=0,"OK","CHECK GAP")</x:f>
        <x:v>OK</x:v>
      </x:c>
      <x:c r="H26" s="58" t="str">
        <x:v>17.15</x:v>
      </x:c>
    </x:row>
    <x:row r="27" ht="20" customHeight="1">
      <x:c r="A27" s="43" t="n">
        <x:v>46243</x:v>
      </x:c>
      <x:c r="B27" s="40"/>
      <x:c r="C27" s="40" t="n">
        <x:v>400000</x:v>
      </x:c>
      <x:c r="D27" s="40" t="n">
        <x:f>D26+B27+C27</x:f>
        <x:v>2076731</x:v>
      </x:c>
      <x:c r="E27" s="40" t="n">
        <x:v>2076731</x:v>
      </x:c>
      <x:c r="F27" s="40" t="n">
        <x:f>D27-E27</x:f>
        <x:v>0</x:v>
      </x:c>
      <x:c r="G27" s="52" t="str">
        <x:f>IF(F27=0,"OK","CHECK GAP")</x:f>
        <x:v>OK</x:v>
      </x:c>
      <x:c r="H27" s="58" t="str">
        <x:v>16.33</x:v>
      </x:c>
    </x:row>
    <x:row r="28" ht="20" customHeight="1">
      <x:c r="A28" s="43" t="n">
        <x:v>46243</x:v>
      </x:c>
      <x:c r="B28" s="40"/>
      <x:c r="C28" s="40" t="n">
        <x:v>33850</x:v>
      </x:c>
      <x:c r="D28" s="40" t="n">
        <x:f>D27+B28+C28</x:f>
        <x:v>2110581</x:v>
      </x:c>
      <x:c r="E28" s="40" t="n">
        <x:v>2110581</x:v>
      </x:c>
      <x:c r="F28" s="40" t="n">
        <x:f>D28-E28</x:f>
        <x:v>0</x:v>
      </x:c>
      <x:c r="G28" s="52" t="str">
        <x:f>IF(F28=0,"OK","CHECK GAP")</x:f>
        <x:v>OK</x:v>
      </x:c>
      <x:c r="H28" s="58" t="str">
        <x:v>6.02</x:v>
      </x:c>
    </x:row>
    <x:row r="29" ht="20" customHeight="1">
      <x:c r="A29" s="43" t="n">
        <x:v>46242</x:v>
      </x:c>
      <x:c r="B29" s="40"/>
      <x:c r="C29" s="40" t="n">
        <x:v>42250</x:v>
      </x:c>
      <x:c r="D29" s="40" t="n">
        <x:f>D28+B29+C29</x:f>
        <x:v>2152831</x:v>
      </x:c>
      <x:c r="E29" s="40" t="n">
        <x:v>2152831</x:v>
      </x:c>
      <x:c r="F29" s="40" t="n">
        <x:f>D29-E29</x:f>
        <x:v>0</x:v>
      </x:c>
      <x:c r="G29" s="52" t="str">
        <x:f>IF(F29=0,"OK","CHECK GAP")</x:f>
        <x:v>OK</x:v>
      </x:c>
      <x:c r="H29" s="58" t="str">
        <x:v>16.34</x:v>
      </x:c>
    </x:row>
    <x:row r="30" ht="20" customHeight="1">
      <x:c r="A30" s="43" t="n">
        <x:v>46243</x:v>
      </x:c>
      <x:c r="B30" s="40"/>
      <x:c r="C30" s="40" t="n">
        <x:v>100000</x:v>
      </x:c>
      <x:c r="D30" s="40" t="n">
        <x:f>D29+B30+C30</x:f>
        <x:v>2252831</x:v>
      </x:c>
      <x:c r="E30" s="40" t="n">
        <x:v>2252831</x:v>
      </x:c>
      <x:c r="F30" s="40" t="n">
        <x:f>D30-E30</x:f>
        <x:v>0</x:v>
      </x:c>
      <x:c r="G30" s="52" t="str">
        <x:f>IF(F30=0,"OK","CHECK GAP")</x:f>
        <x:v>OK</x:v>
      </x:c>
      <x:c r="H30" s="58" t="str">
        <x:v>8.41</x:v>
      </x:c>
    </x:row>
    <x:row r="31" ht="20" customHeight="1">
      <x:c r="A31" s="43" t="n">
        <x:v>46243</x:v>
      </x:c>
      <x:c r="B31" s="40"/>
      <x:c r="C31" s="40" t="n">
        <x:v>52000</x:v>
      </x:c>
      <x:c r="D31" s="40" t="n">
        <x:f>D30+B31+C31</x:f>
        <x:v>2304831</x:v>
      </x:c>
      <x:c r="E31" s="40" t="n">
        <x:v>2304831</x:v>
      </x:c>
      <x:c r="F31" s="40" t="n">
        <x:f>D31-E31</x:f>
        <x:v>0</x:v>
      </x:c>
      <x:c r="G31" s="52" t="str">
        <x:f>IF(F31=0,"OK","CHECK GAP")</x:f>
        <x:v>OK</x:v>
      </x:c>
      <x:c r="H31" s="58" t="str">
        <x:v>8.48</x:v>
      </x:c>
    </x:row>
    <x:row r="32" ht="20" customHeight="1">
      <x:c r="A32" s="43" t="n">
        <x:v>46243</x:v>
      </x:c>
      <x:c r="B32" s="40"/>
      <x:c r="C32" s="40" t="n">
        <x:v>10000</x:v>
      </x:c>
      <x:c r="D32" s="40" t="n">
        <x:f>D31+B32+C32</x:f>
        <x:v>2314831</x:v>
      </x:c>
      <x:c r="E32" s="40" t="n">
        <x:v>2314831</x:v>
      </x:c>
      <x:c r="F32" s="40" t="n">
        <x:f>D32-E32</x:f>
        <x:v>0</x:v>
      </x:c>
      <x:c r="G32" s="52" t="str">
        <x:f>IF(F32=0,"OK","CHECK GAP")</x:f>
        <x:v>OK</x:v>
      </x:c>
      <x:c r="H32" s="58" t="str">
        <x:v>10.09</x:v>
      </x:c>
    </x:row>
    <x:row r="33" ht="20" customHeight="1">
      <x:c r="A33" s="43" t="n">
        <x:v>46243</x:v>
      </x:c>
      <x:c r="B33" s="40"/>
      <x:c r="C33" s="40" t="n">
        <x:v>300000</x:v>
      </x:c>
      <x:c r="D33" s="40" t="n">
        <x:f>D32+B33+C33</x:f>
        <x:v>2614831</x:v>
      </x:c>
      <x:c r="E33" s="40" t="n">
        <x:v>2614831</x:v>
      </x:c>
      <x:c r="F33" s="40" t="n">
        <x:f>D33-E33</x:f>
        <x:v>0</x:v>
      </x:c>
      <x:c r="G33" s="52" t="str">
        <x:f>IF(F33=0,"OK","CHECK GAP")</x:f>
        <x:v>OK</x:v>
      </x:c>
      <x:c r="H33" s="58" t="str">
        <x:v>18.49</x:v>
      </x:c>
    </x:row>
    <x:row r="34" ht="20" customHeight="1">
      <x:c r="A34" s="43" t="n">
        <x:v>46244</x:v>
      </x:c>
      <x:c r="B34" s="40"/>
      <x:c r="C34" s="40" t="n">
        <x:v>41025</x:v>
      </x:c>
      <x:c r="D34" s="40" t="n">
        <x:f>D33+B34+C34</x:f>
        <x:v>2655856</x:v>
      </x:c>
      <x:c r="E34" s="40" t="n">
        <x:v>2655856</x:v>
      </x:c>
      <x:c r="F34" s="40" t="n">
        <x:f>D34-E34</x:f>
        <x:v>0</x:v>
      </x:c>
      <x:c r="G34" s="52" t="str">
        <x:f>IF(F34=0,"OK","CHECK GAP")</x:f>
        <x:v>OK</x:v>
      </x:c>
      <x:c r="H34" s="58" t="str">
        <x:v>8.35</x:v>
      </x:c>
    </x:row>
    <x:row r="35" ht="20" customHeight="1">
      <x:c r="A35" s="43" t="n">
        <x:v>46245</x:v>
      </x:c>
      <x:c r="B35" s="40" t="n">
        <x:v>-241500</x:v>
      </x:c>
      <x:c r="C35" s="40"/>
      <x:c r="D35" s="40" t="n">
        <x:f>D34+B35+C35</x:f>
        <x:v>2414356</x:v>
      </x:c>
      <x:c r="E35" s="40" t="n">
        <x:v>2414356</x:v>
      </x:c>
      <x:c r="F35" s="40" t="n">
        <x:f>D35-E35</x:f>
        <x:v>0</x:v>
      </x:c>
      <x:c r="G35" s="52" t="str">
        <x:f>IF(F35=0,"OK","CHECK GAP")</x:f>
        <x:v>OK</x:v>
      </x:c>
      <x:c r="H35" s="58"/>
    </x:row>
    <x:row r="36" ht="20" customHeight="1">
      <x:c r="A36" s="43" t="n">
        <x:v>46246</x:v>
      </x:c>
      <x:c r="B36" s="40" t="n">
        <x:v>-530405</x:v>
      </x:c>
      <x:c r="C36" s="40"/>
      <x:c r="D36" s="40" t="n">
        <x:f>D35+B36+C36</x:f>
        <x:v>1883951</x:v>
      </x:c>
      <x:c r="E36" s="40" t="n">
        <x:v>1883951</x:v>
      </x:c>
      <x:c r="F36" s="40" t="n">
        <x:f>D36-E36</x:f>
        <x:v>0</x:v>
      </x:c>
      <x:c r="G36" s="52" t="str">
        <x:f>IF(F36=0,"OK","CHECK GAP")</x:f>
        <x:v>OK</x:v>
      </x:c>
      <x:c r="H36" s="58"/>
    </x:row>
    <x:row r="37" ht="20" customHeight="1">
      <x:c r="A37" s="43" t="n">
        <x:v>46247</x:v>
      </x:c>
      <x:c r="B37" s="40" t="n">
        <x:v>-409020</x:v>
      </x:c>
      <x:c r="C37" s="40"/>
      <x:c r="D37" s="40" t="n">
        <x:f>D36+B37+C37</x:f>
        <x:v>1474931</x:v>
      </x:c>
      <x:c r="E37" s="40" t="n">
        <x:v>1474931</x:v>
      </x:c>
      <x:c r="F37" s="40" t="n">
        <x:f>D37-E37</x:f>
        <x:v>0</x:v>
      </x:c>
      <x:c r="G37" s="52" t="str">
        <x:f>IF(F37=0,"OK","CHECK GAP")</x:f>
        <x:v>OK</x:v>
      </x:c>
      <x:c r="H37" s="58"/>
    </x:row>
    <x:row r="38" ht="20" customHeight="1">
      <x:c r="A38" s="43" t="n">
        <x:v>46247</x:v>
      </x:c>
      <x:c r="B38" s="40"/>
      <x:c r="C38" s="40" t="n">
        <x:v>20000</x:v>
      </x:c>
      <x:c r="D38" s="40" t="n">
        <x:f>D37+B38+C38</x:f>
        <x:v>1494931</x:v>
      </x:c>
      <x:c r="E38" s="40" t="n">
        <x:v>1494931</x:v>
      </x:c>
      <x:c r="F38" s="40" t="n">
        <x:f>D38-E38</x:f>
        <x:v>0</x:v>
      </x:c>
      <x:c r="G38" s="52" t="str">
        <x:f>IF(F38=0,"OK","CHECK GAP")</x:f>
        <x:v>OK</x:v>
      </x:c>
      <x:c r="H38" s="58" t="str">
        <x:v>11.20</x:v>
      </x:c>
    </x:row>
    <x:row r="39" ht="20" customHeight="1">
      <x:c r="A39" s="43" t="n">
        <x:v>46247</x:v>
      </x:c>
      <x:c r="B39" s="40"/>
      <x:c r="C39" s="40" t="n">
        <x:v>40000</x:v>
      </x:c>
      <x:c r="D39" s="40" t="n">
        <x:f>D38+B39+C39</x:f>
        <x:v>1534931</x:v>
      </x:c>
      <x:c r="E39" s="40" t="n">
        <x:v>1534931</x:v>
      </x:c>
      <x:c r="F39" s="40" t="n">
        <x:f>D39-E39</x:f>
        <x:v>0</x:v>
      </x:c>
      <x:c r="G39" s="52" t="str">
        <x:f>IF(F39=0,"OK","CHECK GAP")</x:f>
        <x:v>OK</x:v>
      </x:c>
      <x:c r="H39" s="58" t="str">
        <x:v>11.19</x:v>
      </x:c>
    </x:row>
    <x:row r="40" ht="20" customHeight="1">
      <x:c r="A40" s="43" t="n">
        <x:v>46247</x:v>
      </x:c>
      <x:c r="B40" s="40"/>
      <x:c r="C40" s="40" t="n">
        <x:v>30987</x:v>
      </x:c>
      <x:c r="D40" s="40" t="n">
        <x:f>D39+B40+C40</x:f>
        <x:v>1565918</x:v>
      </x:c>
      <x:c r="E40" s="40" t="n">
        <x:v>1565918</x:v>
      </x:c>
      <x:c r="F40" s="40" t="n">
        <x:f>D40-E40</x:f>
        <x:v>0</x:v>
      </x:c>
      <x:c r="G40" s="52" t="str">
        <x:f>IF(F40=0,"OK","CHECK GAP")</x:f>
        <x:v>OK</x:v>
      </x:c>
      <x:c r="H40" s="58" t="str">
        <x:v>11.19</x:v>
      </x:c>
    </x:row>
    <x:row r="41" ht="20" customHeight="1">
      <x:c r="A41" s="43" t="n">
        <x:v>46247</x:v>
      </x:c>
      <x:c r="B41" s="40"/>
      <x:c r="C41" s="40" t="n">
        <x:v>76730</x:v>
      </x:c>
      <x:c r="D41" s="40" t="n">
        <x:f>D40+B41+C41</x:f>
        <x:v>1642648</x:v>
      </x:c>
      <x:c r="E41" s="40" t="n">
        <x:v>1642648</x:v>
      </x:c>
      <x:c r="F41" s="40" t="n">
        <x:f>D41-E41</x:f>
        <x:v>0</x:v>
      </x:c>
      <x:c r="G41" s="52" t="str">
        <x:f>IF(F41=0,"OK","CHECK GAP")</x:f>
        <x:v>OK</x:v>
      </x:c>
      <x:c r="H41" s="58" t="str">
        <x:v>12.20</x:v>
      </x:c>
    </x:row>
    <x:row r="42" ht="20" customHeight="1">
      <x:c r="A42" s="43" t="n">
        <x:v>46248</x:v>
      </x:c>
      <x:c r="B42" s="40" t="n">
        <x:v>-386920</x:v>
      </x:c>
      <x:c r="C42" s="40"/>
      <x:c r="D42" s="40" t="n">
        <x:f>D41+B42+C42</x:f>
        <x:v>1255728</x:v>
      </x:c>
      <x:c r="E42" s="40" t="n">
        <x:v>1255728</x:v>
      </x:c>
      <x:c r="F42" s="40" t="n">
        <x:f>D42-E42</x:f>
        <x:v>0</x:v>
      </x:c>
      <x:c r="G42" s="52" t="str">
        <x:f>IF(F42=0,"OK","CHECK GAP")</x:f>
        <x:v>OK</x:v>
      </x:c>
      <x:c r="H42" s="58"/>
    </x:row>
    <x:row r="43" ht="20" customHeight="1">
      <x:c r="A43" s="43" t="n">
        <x:v>46248</x:v>
      </x:c>
      <x:c r="B43" s="40" t="n">
        <x:v>-15850</x:v>
      </x:c>
      <x:c r="C43" s="40"/>
      <x:c r="D43" s="40" t="n">
        <x:f>D42+B43+C43</x:f>
        <x:v>1239878</x:v>
      </x:c>
      <x:c r="E43" s="40" t="n">
        <x:v>1239878</x:v>
      </x:c>
      <x:c r="F43" s="40" t="n">
        <x:f>D43-E43</x:f>
        <x:v>0</x:v>
      </x:c>
      <x:c r="G43" s="52" t="str">
        <x:f>IF(F43=0,"OK","CHECK GAP")</x:f>
        <x:v>OK</x:v>
      </x:c>
      <x:c r="H43" s="58"/>
    </x:row>
    <x:row r="44" ht="20" customHeight="1">
      <x:c r="A44" s="43" t="n">
        <x:v>46248</x:v>
      </x:c>
      <x:c r="B44" s="40"/>
      <x:c r="C44" s="40" t="n">
        <x:v>377000</x:v>
      </x:c>
      <x:c r="D44" s="40" t="n">
        <x:f>D43+B44+C44</x:f>
        <x:v>1616878</x:v>
      </x:c>
      <x:c r="E44" s="40" t="n">
        <x:v>1616878</x:v>
      </x:c>
      <x:c r="F44" s="40" t="n">
        <x:f>D44-E44</x:f>
        <x:v>0</x:v>
      </x:c>
      <x:c r="G44" s="52" t="str">
        <x:f>IF(F44=0,"OK","CHECK GAP")</x:f>
        <x:v>OK</x:v>
      </x:c>
      <x:c r="H44" s="58" t="str">
        <x:v>BBL</x:v>
      </x:c>
    </x:row>
    <x:row r="45" ht="20" customHeight="1">
      <x:c r="A45" s="43" t="n">
        <x:v>46248</x:v>
      </x:c>
      <x:c r="B45" s="40"/>
      <x:c r="C45" s="40" t="n">
        <x:v>200000</x:v>
      </x:c>
      <x:c r="D45" s="40" t="n">
        <x:f>D44+B45+C45</x:f>
        <x:v>1816878</x:v>
      </x:c>
      <x:c r="E45" s="40" t="n">
        <x:v>1816878</x:v>
      </x:c>
      <x:c r="F45" s="40" t="n">
        <x:f>D45-E45</x:f>
        <x:v>0</x:v>
      </x:c>
      <x:c r="G45" s="52" t="str">
        <x:f>IF(F45=0,"OK","CHECK GAP")</x:f>
        <x:v>OK</x:v>
      </x:c>
      <x:c r="H45" s="58" t="str">
        <x:v>BBL</x:v>
      </x:c>
    </x:row>
    <x:row r="46" ht="20" customHeight="1">
      <x:c r="A46" s="43" t="n">
        <x:v>46249</x:v>
      </x:c>
      <x:c r="B46" s="40" t="n">
        <x:v>-466450</x:v>
      </x:c>
      <x:c r="C46" s="40"/>
      <x:c r="D46" s="40" t="n">
        <x:f>D45+B46+C46</x:f>
        <x:v>1350428</x:v>
      </x:c>
      <x:c r="E46" s="40" t="n">
        <x:v>1350428</x:v>
      </x:c>
      <x:c r="F46" s="40" t="n">
        <x:f>D46-E46</x:f>
        <x:v>0</x:v>
      </x:c>
      <x:c r="G46" s="52" t="str">
        <x:f>IF(F46=0,"OK","CHECK GAP")</x:f>
        <x:v>OK</x:v>
      </x:c>
      <x:c r="H46" s="58"/>
    </x:row>
    <x:row r="47" ht="20" customHeight="1">
      <x:c r="A47" s="43" t="n">
        <x:v>46248</x:v>
      </x:c>
      <x:c r="B47" s="40"/>
      <x:c r="C47" s="40" t="n">
        <x:v>40000</x:v>
      </x:c>
      <x:c r="D47" s="40" t="n">
        <x:f>D46+B47+C47</x:f>
        <x:v>1390428</x:v>
      </x:c>
      <x:c r="E47" s="40" t="n">
        <x:v>1390428</x:v>
      </x:c>
      <x:c r="F47" s="40" t="n">
        <x:f>D47-E47</x:f>
        <x:v>0</x:v>
      </x:c>
      <x:c r="G47" s="52" t="str">
        <x:f>IF(F47=0,"OK","CHECK GAP")</x:f>
        <x:v>OK</x:v>
      </x:c>
      <x:c r="H47" s="58" t="str">
        <x:v>20.10 BBL</x:v>
      </x:c>
    </x:row>
    <x:row r="48" ht="20" customHeight="1">
      <x:c r="A48" s="43" t="n">
        <x:v>46248</x:v>
      </x:c>
      <x:c r="B48" s="40"/>
      <x:c r="C48" s="40" t="n">
        <x:v>37750</x:v>
      </x:c>
      <x:c r="D48" s="40" t="n">
        <x:f>D47+B48+C48</x:f>
        <x:v>1428178</x:v>
      </x:c>
      <x:c r="E48" s="40" t="n">
        <x:v>1428178</x:v>
      </x:c>
      <x:c r="F48" s="40" t="n">
        <x:f>D48-E48</x:f>
        <x:v>0</x:v>
      </x:c>
      <x:c r="G48" s="52" t="str">
        <x:f>IF(F48=0,"OK","CHECK GAP")</x:f>
        <x:v>OK</x:v>
      </x:c>
      <x:c r="H48" s="58" t="str">
        <x:v>20.22 BBL</x:v>
      </x:c>
    </x:row>
    <x:row r="49" ht="20" customHeight="1">
      <x:c r="A49" s="43" t="n">
        <x:v>46248</x:v>
      </x:c>
      <x:c r="B49" s="40"/>
      <x:c r="C49" s="40" t="n">
        <x:v>30000</x:v>
      </x:c>
      <x:c r="D49" s="40" t="n">
        <x:f>D48+B49+C49</x:f>
        <x:v>1458178</x:v>
      </x:c>
      <x:c r="E49" s="40" t="n">
        <x:v>1458178</x:v>
      </x:c>
      <x:c r="F49" s="40" t="n">
        <x:f>D49-E49</x:f>
        <x:v>0</x:v>
      </x:c>
      <x:c r="G49" s="52" t="str">
        <x:f>IF(F49=0,"OK","CHECK GAP")</x:f>
        <x:v>OK</x:v>
      </x:c>
      <x:c r="H49" s="58" t="str">
        <x:v>20.23 BBL</x:v>
      </x:c>
    </x:row>
    <x:row r="50" ht="20" customHeight="1">
      <x:c r="A50" s="43" t="n">
        <x:v>46248</x:v>
      </x:c>
      <x:c r="B50" s="40"/>
      <x:c r="C50" s="40" t="n">
        <x:v>30000</x:v>
      </x:c>
      <x:c r="D50" s="40" t="n">
        <x:f>D49+B50+C50</x:f>
        <x:v>1488178</x:v>
      </x:c>
      <x:c r="E50" s="40" t="n">
        <x:v>1488178</x:v>
      </x:c>
      <x:c r="F50" s="40" t="n">
        <x:f>D50-E50</x:f>
        <x:v>0</x:v>
      </x:c>
      <x:c r="G50" s="52" t="str">
        <x:f>IF(F50=0,"OK","CHECK GAP")</x:f>
        <x:v>OK</x:v>
      </x:c>
      <x:c r="H50" s="58" t="str">
        <x:v>20.22 BBL</x:v>
      </x:c>
    </x:row>
    <x:row r="51" ht="20" customHeight="1">
      <x:c r="A51" s="43" t="n">
        <x:v>46249</x:v>
      </x:c>
      <x:c r="B51" s="40"/>
      <x:c r="C51" s="40" t="n">
        <x:v>49000</x:v>
      </x:c>
      <x:c r="D51" s="40" t="n">
        <x:f>D50+B51+C51</x:f>
        <x:v>1537178</x:v>
      </x:c>
      <x:c r="E51" s="40" t="n">
        <x:v>1537178</x:v>
      </x:c>
      <x:c r="F51" s="40" t="n">
        <x:f>D51-E51</x:f>
        <x:v>0</x:v>
      </x:c>
      <x:c r="G51" s="52" t="str">
        <x:f>IF(F51=0,"OK","CHECK GAP")</x:f>
        <x:v>OK</x:v>
      </x:c>
      <x:c r="H51" s="58" t="str">
        <x:v>14.05 BBL</x:v>
      </x:c>
    </x:row>
    <x:row r="52" ht="20" customHeight="1">
      <x:c r="A52" s="43" t="n">
        <x:v>46249</x:v>
      </x:c>
      <x:c r="B52" s="40"/>
      <x:c r="C52" s="40" t="n">
        <x:v>49000</x:v>
      </x:c>
      <x:c r="D52" s="40" t="n">
        <x:f>D51+B52+C52</x:f>
        <x:v>1586178</x:v>
      </x:c>
      <x:c r="E52" s="40" t="n">
        <x:v>1586178</x:v>
      </x:c>
      <x:c r="F52" s="40" t="n">
        <x:f>D52-E52</x:f>
        <x:v>0</x:v>
      </x:c>
      <x:c r="G52" s="52" t="str">
        <x:f>IF(F52=0,"OK","CHECK GAP")</x:f>
        <x:v>OK</x:v>
      </x:c>
      <x:c r="H52" s="58" t="str">
        <x:v>14.10 BBL</x:v>
      </x:c>
    </x:row>
    <x:row r="53" ht="20" customHeight="1">
      <x:c r="A53" s="43" t="n">
        <x:v>46249</x:v>
      </x:c>
      <x:c r="B53" s="40"/>
      <x:c r="C53" s="40" t="n">
        <x:v>31700</x:v>
      </x:c>
      <x:c r="D53" s="40" t="n">
        <x:f>D52+B53+C53</x:f>
        <x:v>1617878</x:v>
      </x:c>
      <x:c r="E53" s="40" t="n">
        <x:v>1617878</x:v>
      </x:c>
      <x:c r="F53" s="40" t="n">
        <x:f>D53-E53</x:f>
        <x:v>0</x:v>
      </x:c>
      <x:c r="G53" s="52" t="str">
        <x:f>IF(F53=0,"OK","CHECK GAP")</x:f>
        <x:v>OK</x:v>
      </x:c>
      <x:c r="H53" s="58" t="str">
        <x:v>14.14 BBL</x:v>
      </x:c>
    </x:row>
    <x:row r="54" ht="20" customHeight="1">
      <x:c r="A54" s="43" t="n">
        <x:v>46249</x:v>
      </x:c>
      <x:c r="B54" s="40"/>
      <x:c r="C54" s="40" t="n">
        <x:v>20050</x:v>
      </x:c>
      <x:c r="D54" s="40" t="n">
        <x:f>D53+B54+C54</x:f>
        <x:v>1637928</x:v>
      </x:c>
      <x:c r="E54" s="40" t="n">
        <x:v>1637928</x:v>
      </x:c>
      <x:c r="F54" s="40" t="n">
        <x:f>D54-E54</x:f>
        <x:v>0</x:v>
      </x:c>
      <x:c r="G54" s="52" t="str">
        <x:f>IF(F54=0,"OK","CHECK GAP")</x:f>
        <x:v>OK</x:v>
      </x:c>
      <x:c r="H54" s="58" t="str">
        <x:v>14.16 BBL</x:v>
      </x:c>
    </x:row>
    <x:row r="55" ht="20" customHeight="1">
      <x:c r="A55" s="43" t="n">
        <x:v>46250</x:v>
      </x:c>
      <x:c r="B55" s="40" t="n">
        <x:v>-684618</x:v>
      </x:c>
      <x:c r="C55" s="40"/>
      <x:c r="D55" s="40" t="n">
        <x:f>D54+B55+C55</x:f>
        <x:v>953310</x:v>
      </x:c>
      <x:c r="E55" s="40" t="n">
        <x:v>953310</x:v>
      </x:c>
      <x:c r="F55" s="40" t="n">
        <x:f>D55-E55</x:f>
        <x:v>0</x:v>
      </x:c>
      <x:c r="G55" s="52" t="str">
        <x:f>IF(F55=0,"OK","CHECK GAP")</x:f>
        <x:v>OK</x:v>
      </x:c>
      <x:c r="H55" s="58"/>
    </x:row>
    <x:row r="56" ht="20" customHeight="1">
      <x:c r="A56" s="43" t="n">
        <x:v>46251</x:v>
      </x:c>
      <x:c r="B56" s="40" t="n">
        <x:v>-252230</x:v>
      </x:c>
      <x:c r="C56" s="40"/>
      <x:c r="D56" s="40" t="n">
        <x:f>D55+B56+C56</x:f>
        <x:v>701080</x:v>
      </x:c>
      <x:c r="E56" s="40" t="n">
        <x:v>701080</x:v>
      </x:c>
      <x:c r="F56" s="40" t="n">
        <x:f>D56-E56</x:f>
        <x:v>0</x:v>
      </x:c>
      <x:c r="G56" s="52" t="str">
        <x:f>IF(F56=0,"OK","CHECK GAP")</x:f>
        <x:v>OK</x:v>
      </x:c>
      <x:c r="H56" s="58"/>
    </x:row>
    <x:row r="57" ht="20" customHeight="1">
      <x:c r="A57" s="43" t="n">
        <x:v>46249</x:v>
      </x:c>
      <x:c r="B57" s="40"/>
      <x:c r="C57" s="40" t="n">
        <x:v>15250</x:v>
      </x:c>
      <x:c r="D57" s="40" t="n">
        <x:f>D56+B57+C57</x:f>
        <x:v>716330</x:v>
      </x:c>
      <x:c r="E57" s="40" t="n">
        <x:v>716330</x:v>
      </x:c>
      <x:c r="F57" s="40" t="n">
        <x:f>D57-E57</x:f>
        <x:v>0</x:v>
      </x:c>
      <x:c r="G57" s="52" t="str">
        <x:f>IF(F57=0,"OK","CHECK GAP")</x:f>
        <x:v>OK</x:v>
      </x:c>
      <x:c r="H57" s="58" t="str">
        <x:v>16.43 BBL</x:v>
      </x:c>
    </x:row>
    <x:row r="58" ht="20" customHeight="1">
      <x:c r="A58" s="43" t="n">
        <x:v>46249</x:v>
      </x:c>
      <x:c r="B58" s="40"/>
      <x:c r="C58" s="40" t="n">
        <x:v>22480</x:v>
      </x:c>
      <x:c r="D58" s="40" t="n">
        <x:f>D57+B58+C58</x:f>
        <x:v>738810</x:v>
      </x:c>
      <x:c r="E58" s="40" t="n">
        <x:v>738810</x:v>
      </x:c>
      <x:c r="F58" s="40" t="n">
        <x:f>D58-E58</x:f>
        <x:v>0</x:v>
      </x:c>
      <x:c r="G58" s="52" t="str">
        <x:f>IF(F58=0,"OK","CHECK GAP")</x:f>
        <x:v>OK</x:v>
      </x:c>
      <x:c r="H58" s="58" t="str">
        <x:v>7.06 BBL</x:v>
      </x:c>
    </x:row>
    <x:row r="59" ht="20" customHeight="1">
      <x:c r="A59" s="43" t="n">
        <x:v>46249</x:v>
      </x:c>
      <x:c r="B59" s="40"/>
      <x:c r="C59" s="40" t="n">
        <x:v>28462</x:v>
      </x:c>
      <x:c r="D59" s="40" t="n">
        <x:f>D58+B59+C59</x:f>
        <x:v>767272</x:v>
      </x:c>
      <x:c r="E59" s="40" t="n">
        <x:v>767272</x:v>
      </x:c>
      <x:c r="F59" s="40" t="n">
        <x:f>D59-E59</x:f>
        <x:v>0</x:v>
      </x:c>
      <x:c r="G59" s="52" t="str">
        <x:f>IF(F59=0,"OK","CHECK GAP")</x:f>
        <x:v>OK</x:v>
      </x:c>
      <x:c r="H59" s="58" t="str">
        <x:v>4.59 BBL</x:v>
      </x:c>
    </x:row>
    <x:row r="60" ht="20" customHeight="1">
      <x:c r="A60" s="43" t="n">
        <x:v>46249</x:v>
      </x:c>
      <x:c r="B60" s="40"/>
      <x:c r="C60" s="40" t="n">
        <x:v>10000</x:v>
      </x:c>
      <x:c r="D60" s="40" t="n">
        <x:f>D59+B60+C60</x:f>
        <x:v>777272</x:v>
      </x:c>
      <x:c r="E60" s="40" t="n">
        <x:v>777272</x:v>
      </x:c>
      <x:c r="F60" s="40" t="n">
        <x:f>D60-E60</x:f>
        <x:v>0</x:v>
      </x:c>
      <x:c r="G60" s="52" t="str">
        <x:f>IF(F60=0,"OK","CHECK GAP")</x:f>
        <x:v>OK</x:v>
      </x:c>
      <x:c r="H60" s="58" t="str">
        <x:v>14.49 BBL</x:v>
      </x:c>
    </x:row>
    <x:row r="61" ht="20" customHeight="1">
      <x:c r="A61" s="43" t="n">
        <x:v>46249</x:v>
      </x:c>
      <x:c r="B61" s="40"/>
      <x:c r="C61" s="40" t="n">
        <x:v>15000</x:v>
      </x:c>
      <x:c r="D61" s="40" t="n">
        <x:f>D60+B61+C61</x:f>
        <x:v>792272</x:v>
      </x:c>
      <x:c r="E61" s="40" t="n">
        <x:v>792272</x:v>
      </x:c>
      <x:c r="F61" s="40" t="n">
        <x:f>D61-E61</x:f>
        <x:v>0</x:v>
      </x:c>
      <x:c r="G61" s="52" t="str">
        <x:f>IF(F61=0,"OK","CHECK GAP")</x:f>
        <x:v>OK</x:v>
      </x:c>
      <x:c r="H61" s="58" t="str">
        <x:v>14.51 BBL</x:v>
      </x:c>
    </x:row>
    <x:row r="62" ht="20" customHeight="1">
      <x:c r="A62" s="43" t="n">
        <x:v>46249</x:v>
      </x:c>
      <x:c r="B62" s="40"/>
      <x:c r="C62" s="40" t="n">
        <x:v>49200</x:v>
      </x:c>
      <x:c r="D62" s="40" t="n">
        <x:f>D61+B62+C62</x:f>
        <x:v>841472</x:v>
      </x:c>
      <x:c r="E62" s="40" t="n">
        <x:v>841472</x:v>
      </x:c>
      <x:c r="F62" s="40" t="n">
        <x:f>D62-E62</x:f>
        <x:v>0</x:v>
      </x:c>
      <x:c r="G62" s="52" t="str">
        <x:f>IF(F62=0,"OK","CHECK GAP")</x:f>
        <x:v>OK</x:v>
      </x:c>
      <x:c r="H62" s="58" t="str">
        <x:v>14.48 BBL</x:v>
      </x:c>
    </x:row>
    <x:row r="63" ht="20" customHeight="1">
      <x:c r="A63" s="43" t="n">
        <x:v>46249</x:v>
      </x:c>
      <x:c r="B63" s="40"/>
      <x:c r="C63" s="40" t="n">
        <x:v>36854</x:v>
      </x:c>
      <x:c r="D63" s="40" t="n">
        <x:f>D62+B63+C63</x:f>
        <x:v>878326</x:v>
      </x:c>
      <x:c r="E63" s="40" t="n">
        <x:v>878326</x:v>
      </x:c>
      <x:c r="F63" s="40" t="n">
        <x:f>D63-E63</x:f>
        <x:v>0</x:v>
      </x:c>
      <x:c r="G63" s="52" t="str">
        <x:f>IF(F63=0,"OK","CHECK GAP")</x:f>
        <x:v>OK</x:v>
      </x:c>
      <x:c r="H63" s="58" t="str">
        <x:v>15.07 BBL</x:v>
      </x:c>
    </x:row>
    <x:row r="64" ht="20" customHeight="1">
      <x:c r="A64" s="43" t="n">
        <x:v>46249</x:v>
      </x:c>
      <x:c r="B64" s="40"/>
      <x:c r="C64" s="40" t="n">
        <x:v>40000</x:v>
      </x:c>
      <x:c r="D64" s="40" t="n">
        <x:f>D63+B64+C64</x:f>
        <x:v>918326</x:v>
      </x:c>
      <x:c r="E64" s="40" t="n">
        <x:v>918326</x:v>
      </x:c>
      <x:c r="F64" s="40" t="n">
        <x:f>D64-E64</x:f>
        <x:v>0</x:v>
      </x:c>
      <x:c r="G64" s="52" t="str">
        <x:f>IF(F64=0,"OK","CHECK GAP")</x:f>
        <x:v>OK</x:v>
      </x:c>
      <x:c r="H64" s="58" t="str">
        <x:v>15.06 BBL</x:v>
      </x:c>
    </x:row>
    <x:row r="65" ht="20" customHeight="1">
      <x:c r="A65" s="43" t="n">
        <x:v>46249</x:v>
      </x:c>
      <x:c r="B65" s="40"/>
      <x:c r="C65" s="40" t="n">
        <x:v>49998</x:v>
      </x:c>
      <x:c r="D65" s="40" t="n">
        <x:f>D64+B65+C65</x:f>
        <x:v>968324</x:v>
      </x:c>
      <x:c r="E65" s="40" t="n">
        <x:v>968324</x:v>
      </x:c>
      <x:c r="F65" s="40" t="n">
        <x:f>D65-E65</x:f>
        <x:v>0</x:v>
      </x:c>
      <x:c r="G65" s="52" t="str">
        <x:f>IF(F65=0,"OK","CHECK GAP")</x:f>
        <x:v>OK</x:v>
      </x:c>
      <x:c r="H65" s="58" t="str">
        <x:v>14.59 BBL</x:v>
      </x:c>
    </x:row>
    <x:row r="66" ht="20" customHeight="1">
      <x:c r="A66" s="43" t="n">
        <x:v>46249</x:v>
      </x:c>
      <x:c r="B66" s="40"/>
      <x:c r="C66" s="40" t="n">
        <x:v>49999</x:v>
      </x:c>
      <x:c r="D66" s="40" t="n">
        <x:f>D65+B66+C66</x:f>
        <x:v>1018323</x:v>
      </x:c>
      <x:c r="E66" s="40" t="n">
        <x:v>1018323</x:v>
      </x:c>
      <x:c r="F66" s="40" t="n">
        <x:f>D66-E66</x:f>
        <x:v>0</x:v>
      </x:c>
      <x:c r="G66" s="52" t="str">
        <x:f>IF(F66=0,"OK","CHECK GAP")</x:f>
        <x:v>OK</x:v>
      </x:c>
      <x:c r="H66" s="58" t="str">
        <x:v>14.57 BBL</x:v>
      </x:c>
    </x:row>
    <x:row r="67" ht="20" customHeight="1">
      <x:c r="A67" s="43" t="n">
        <x:v>46249</x:v>
      </x:c>
      <x:c r="B67" s="40"/>
      <x:c r="C67" s="40" t="n">
        <x:v>49999</x:v>
      </x:c>
      <x:c r="D67" s="40" t="n">
        <x:f>D66+B67+C67</x:f>
        <x:v>1068322</x:v>
      </x:c>
      <x:c r="E67" s="40" t="n">
        <x:v>1068322</x:v>
      </x:c>
      <x:c r="F67" s="40" t="n">
        <x:f>D67-E67</x:f>
        <x:v>0</x:v>
      </x:c>
      <x:c r="G67" s="52" t="str">
        <x:f>IF(F67=0,"OK","CHECK GAP")</x:f>
        <x:v>OK</x:v>
      </x:c>
      <x:c r="H67" s="58" t="str">
        <x:v>14.55 BBL</x:v>
      </x:c>
    </x:row>
    <x:row r="68" ht="20" customHeight="1">
      <x:c r="A68" s="43" t="n">
        <x:v>46249</x:v>
      </x:c>
      <x:c r="B68" s="40"/>
      <x:c r="C68" s="40" t="n">
        <x:v>8000</x:v>
      </x:c>
      <x:c r="D68" s="40" t="n">
        <x:f>D67+B68+C68</x:f>
        <x:v>1076322</x:v>
      </x:c>
      <x:c r="E68" s="40" t="n">
        <x:v>1076322</x:v>
      </x:c>
      <x:c r="F68" s="40" t="n">
        <x:f>D68-E68</x:f>
        <x:v>0</x:v>
      </x:c>
      <x:c r="G68" s="52" t="str">
        <x:f>IF(F68=0,"OK","CHECK GAP")</x:f>
        <x:v>OK</x:v>
      </x:c>
      <x:c r="H68" s="58" t="str">
        <x:v>9.51 BBL</x:v>
      </x:c>
    </x:row>
    <x:row r="69" ht="20" customHeight="1">
      <x:c r="A69" s="43" t="n">
        <x:v>46249</x:v>
      </x:c>
      <x:c r="B69" s="40"/>
      <x:c r="C69" s="40" t="n">
        <x:v>28000</x:v>
      </x:c>
      <x:c r="D69" s="40" t="n">
        <x:f>D68+B69+C69</x:f>
        <x:v>1104322</x:v>
      </x:c>
      <x:c r="E69" s="40" t="n">
        <x:v>1104322</x:v>
      </x:c>
      <x:c r="F69" s="40" t="n">
        <x:f>D69-E69</x:f>
        <x:v>0</x:v>
      </x:c>
      <x:c r="G69" s="52" t="str">
        <x:f>IF(F69=0,"OK","CHECK GAP")</x:f>
        <x:v>OK</x:v>
      </x:c>
      <x:c r="H69" s="58" t="str">
        <x:v>11.54 BBL</x:v>
      </x:c>
    </x:row>
    <x:row r="70" ht="20" customHeight="1">
      <x:c r="A70" s="43" t="n">
        <x:v>46250</x:v>
      </x:c>
      <x:c r="B70" s="40"/>
      <x:c r="C70" s="40" t="n">
        <x:v>3490</x:v>
      </x:c>
      <x:c r="D70" s="40" t="n">
        <x:f>D69+B70+C70</x:f>
        <x:v>1107812</x:v>
      </x:c>
      <x:c r="E70" s="40" t="n">
        <x:v>1107812</x:v>
      </x:c>
      <x:c r="F70" s="40" t="n">
        <x:f>D70-E70</x:f>
        <x:v>0</x:v>
      </x:c>
      <x:c r="G70" s="52" t="str">
        <x:f>IF(F70=0,"OK","CHECK GAP")</x:f>
        <x:v>OK</x:v>
      </x:c>
      <x:c r="H70" s="58" t="str">
        <x:v>11.56 BBL</x:v>
      </x:c>
    </x:row>
    <x:row r="71" ht="20" customHeight="1">
      <x:c r="A71" s="43" t="n">
        <x:v>46250</x:v>
      </x:c>
      <x:c r="B71" s="40"/>
      <x:c r="C71" s="40" t="n">
        <x:v>48440</x:v>
      </x:c>
      <x:c r="D71" s="40" t="n">
        <x:f>D70+B71+C71</x:f>
        <x:v>1156252</x:v>
      </x:c>
      <x:c r="E71" s="40" t="n">
        <x:v>1156252</x:v>
      </x:c>
      <x:c r="F71" s="40" t="n">
        <x:f>D71-E71</x:f>
        <x:v>0</x:v>
      </x:c>
      <x:c r="G71" s="52" t="str">
        <x:f>IF(F71=0,"OK","CHECK GAP")</x:f>
        <x:v>OK</x:v>
      </x:c>
      <x:c r="H71" s="58" t="str">
        <x:v>11.45 BBL</x:v>
      </x:c>
    </x:row>
    <x:row r="72" ht="20" customHeight="1">
      <x:c r="A72" s="43" t="n">
        <x:v>46250</x:v>
      </x:c>
      <x:c r="B72" s="40"/>
      <x:c r="C72" s="40" t="n">
        <x:v>22860</x:v>
      </x:c>
      <x:c r="D72" s="40" t="n">
        <x:f>D71+B72+C72</x:f>
        <x:v>1179112</x:v>
      </x:c>
      <x:c r="E72" s="40" t="n">
        <x:v>1179112</x:v>
      </x:c>
      <x:c r="F72" s="40" t="n">
        <x:f>D72-E72</x:f>
        <x:v>0</x:v>
      </x:c>
      <x:c r="G72" s="52" t="str">
        <x:f>IF(F72=0,"OK","CHECK GAP")</x:f>
        <x:v>OK</x:v>
      </x:c>
      <x:c r="H72" s="58" t="str">
        <x:v>10.13 BBL</x:v>
      </x:c>
    </x:row>
    <x:row r="73" ht="20" customHeight="1">
      <x:c r="A73" s="43" t="n">
        <x:v>46250</x:v>
      </x:c>
      <x:c r="B73" s="40"/>
      <x:c r="C73" s="40" t="n">
        <x:v>38050</x:v>
      </x:c>
      <x:c r="D73" s="40" t="n">
        <x:f>D72+B73+C73</x:f>
        <x:v>1217162</x:v>
      </x:c>
      <x:c r="E73" s="40" t="n">
        <x:v>1217162</x:v>
      </x:c>
      <x:c r="F73" s="40" t="n">
        <x:f>D73-E73</x:f>
        <x:v>0</x:v>
      </x:c>
      <x:c r="G73" s="52" t="str">
        <x:f>IF(F73=0,"OK","CHECK GAP")</x:f>
        <x:v>OK</x:v>
      </x:c>
      <x:c r="H73" s="58" t="str">
        <x:v>10.37 BBL</x:v>
      </x:c>
    </x:row>
    <x:row r="74" ht="20" customHeight="1">
      <x:c r="A74" s="43" t="n">
        <x:v>46250</x:v>
      </x:c>
      <x:c r="B74" s="40"/>
      <x:c r="C74" s="40" t="n">
        <x:v>20000</x:v>
      </x:c>
      <x:c r="D74" s="40" t="n">
        <x:f>D73+B74+C74</x:f>
        <x:v>1237162</x:v>
      </x:c>
      <x:c r="E74" s="40" t="n">
        <x:v>1237162</x:v>
      </x:c>
      <x:c r="F74" s="40" t="n">
        <x:f>D74-E74</x:f>
        <x:v>0</x:v>
      </x:c>
      <x:c r="G74" s="52" t="str">
        <x:f>IF(F74=0,"OK","CHECK GAP")</x:f>
        <x:v>OK</x:v>
      </x:c>
      <x:c r="H74" s="58" t="str">
        <x:v>13.50 BBL</x:v>
      </x:c>
    </x:row>
    <x:row r="75" ht="20" customHeight="1">
      <x:c r="A75" s="43" t="n">
        <x:v>46250</x:v>
      </x:c>
      <x:c r="B75" s="40"/>
      <x:c r="C75" s="40" t="n">
        <x:v>17700</x:v>
      </x:c>
      <x:c r="D75" s="40" t="n">
        <x:f>D74+B75+C75</x:f>
        <x:v>1254862</x:v>
      </x:c>
      <x:c r="E75" s="40" t="n">
        <x:v>1254862</x:v>
      </x:c>
      <x:c r="F75" s="40" t="n">
        <x:f>D75-E75</x:f>
        <x:v>0</x:v>
      </x:c>
      <x:c r="G75" s="52" t="str">
        <x:f>IF(F75=0,"OK","CHECK GAP")</x:f>
        <x:v>OK</x:v>
      </x:c>
      <x:c r="H75" s="58" t="str">
        <x:v>17.51 BBL</x:v>
      </x:c>
    </x:row>
    <x:row r="76" ht="20" customHeight="1">
      <x:c r="A76" s="43" t="n">
        <x:v>46250</x:v>
      </x:c>
      <x:c r="B76" s="40"/>
      <x:c r="C76" s="40" t="n">
        <x:v>49000</x:v>
      </x:c>
      <x:c r="D76" s="40" t="n">
        <x:f>D75+B76+C76</x:f>
        <x:v>1303862</x:v>
      </x:c>
      <x:c r="E76" s="40" t="n">
        <x:v>1303862</x:v>
      </x:c>
      <x:c r="F76" s="40" t="n">
        <x:f>D76-E76</x:f>
        <x:v>0</x:v>
      </x:c>
      <x:c r="G76" s="52" t="str">
        <x:f>IF(F76=0,"OK","CHECK GAP")</x:f>
        <x:v>OK</x:v>
      </x:c>
      <x:c r="H76" s="58" t="str">
        <x:v>11.11 BBL</x:v>
      </x:c>
    </x:row>
    <x:row r="77" ht="20" customHeight="1">
      <x:c r="A77" s="43" t="n">
        <x:v>46250</x:v>
      </x:c>
      <x:c r="B77" s="40"/>
      <x:c r="C77" s="40" t="n">
        <x:v>48000</x:v>
      </x:c>
      <x:c r="D77" s="40" t="n">
        <x:f>D76+B77+C77</x:f>
        <x:v>1351862</x:v>
      </x:c>
      <x:c r="E77" s="40" t="n">
        <x:v>1351862</x:v>
      </x:c>
      <x:c r="F77" s="40" t="n">
        <x:f>D77-E77</x:f>
        <x:v>0</x:v>
      </x:c>
      <x:c r="G77" s="52" t="str">
        <x:f>IF(F77=0,"OK","CHECK GAP")</x:f>
        <x:v>OK</x:v>
      </x:c>
      <x:c r="H77" s="58" t="str">
        <x:v>11.13 BBL</x:v>
      </x:c>
    </x:row>
    <x:row r="78" ht="20" customHeight="1">
      <x:c r="A78" s="43" t="n">
        <x:v>46250</x:v>
      </x:c>
      <x:c r="B78" s="40"/>
      <x:c r="C78" s="40" t="n">
        <x:v>24100</x:v>
      </x:c>
      <x:c r="D78" s="40" t="n">
        <x:f>D77+B78+C78</x:f>
        <x:v>1375962</x:v>
      </x:c>
      <x:c r="E78" s="40" t="n">
        <x:v>1375962</x:v>
      </x:c>
      <x:c r="F78" s="40" t="n">
        <x:f>D78-E78</x:f>
        <x:v>0</x:v>
      </x:c>
      <x:c r="G78" s="52" t="str">
        <x:f>IF(F78=0,"OK","CHECK GAP")</x:f>
        <x:v>OK</x:v>
      </x:c>
      <x:c r="H78" s="58" t="str">
        <x:v>14.07 BBL</x:v>
      </x:c>
    </x:row>
    <x:row r="79" ht="20" customHeight="1">
      <x:c r="A79" s="43" t="n">
        <x:v>46250</x:v>
      </x:c>
      <x:c r="B79" s="40"/>
      <x:c r="C79" s="40" t="n">
        <x:v>39000</x:v>
      </x:c>
      <x:c r="D79" s="40" t="n">
        <x:f>D78+B79+C79</x:f>
        <x:v>1414962</x:v>
      </x:c>
      <x:c r="E79" s="40" t="n">
        <x:v>1414962</x:v>
      </x:c>
      <x:c r="F79" s="40" t="n">
        <x:f>D79-E79</x:f>
        <x:v>0</x:v>
      </x:c>
      <x:c r="G79" s="52" t="str">
        <x:f>IF(F79=0,"OK","CHECK GAP")</x:f>
        <x:v>OK</x:v>
      </x:c>
      <x:c r="H79" s="58" t="str">
        <x:v>14.09 BBL</x:v>
      </x:c>
    </x:row>
    <x:row r="80" ht="20" customHeight="1">
      <x:c r="A80" s="43" t="n">
        <x:v>46250</x:v>
      </x:c>
      <x:c r="B80" s="40"/>
      <x:c r="C80" s="40" t="n">
        <x:v>29090</x:v>
      </x:c>
      <x:c r="D80" s="40" t="n">
        <x:f>D79+B80+C80</x:f>
        <x:v>1444052</x:v>
      </x:c>
      <x:c r="E80" s="40" t="n">
        <x:v>1444052</x:v>
      </x:c>
      <x:c r="F80" s="40" t="n">
        <x:f>D80-E80</x:f>
        <x:v>0</x:v>
      </x:c>
      <x:c r="G80" s="52" t="str">
        <x:f>IF(F80=0,"OK","CHECK GAP")</x:f>
        <x:v>OK</x:v>
      </x:c>
      <x:c r="H80" s="58" t="str">
        <x:v>21.48 BBL</x:v>
      </x:c>
    </x:row>
    <x:row r="81" ht="20" customHeight="1">
      <x:c r="A81" s="43" t="n">
        <x:v>46250</x:v>
      </x:c>
      <x:c r="B81" s="40"/>
      <x:c r="C81" s="40" t="n">
        <x:v>49900</x:v>
      </x:c>
      <x:c r="D81" s="40" t="n">
        <x:f>D80+B81+C81</x:f>
        <x:v>1493952</x:v>
      </x:c>
      <x:c r="E81" s="40" t="n">
        <x:v>1493952</x:v>
      </x:c>
      <x:c r="F81" s="40" t="n">
        <x:f>D81-E81</x:f>
        <x:v>0</x:v>
      </x:c>
      <x:c r="G81" s="52" t="str">
        <x:f>IF(F81=0,"OK","CHECK GAP")</x:f>
        <x:v>OK</x:v>
      </x:c>
      <x:c r="H81" s="58" t="str">
        <x:v>10.50 BBL</x:v>
      </x:c>
    </x:row>
    <x:row r="82" ht="20" customHeight="1">
      <x:c r="A82" s="43" t="n">
        <x:v>46251</x:v>
      </x:c>
      <x:c r="B82" s="40"/>
      <x:c r="C82" s="40" t="n">
        <x:v>37000</x:v>
      </x:c>
      <x:c r="D82" s="40" t="n">
        <x:f>D81+B82+C82</x:f>
        <x:v>1530952</x:v>
      </x:c>
      <x:c r="E82" s="40" t="n">
        <x:v>1530952</x:v>
      </x:c>
      <x:c r="F82" s="40" t="n">
        <x:f>D82-E82</x:f>
        <x:v>0</x:v>
      </x:c>
      <x:c r="G82" s="52" t="str">
        <x:f>IF(F82=0,"OK","CHECK GAP")</x:f>
        <x:v>OK</x:v>
      </x:c>
      <x:c r="H82" s="58" t="str">
        <x:v>11.15 BBL</x:v>
      </x:c>
    </x:row>
    <x:row r="83" ht="20" customHeight="1">
      <x:c r="A83" s="43" t="n">
        <x:v>46251</x:v>
      </x:c>
      <x:c r="B83" s="40"/>
      <x:c r="C83" s="40" t="n">
        <x:v>47100</x:v>
      </x:c>
      <x:c r="D83" s="40" t="n">
        <x:f>D82+B83+C83</x:f>
        <x:v>1578052</x:v>
      </x:c>
      <x:c r="E83" s="40" t="n">
        <x:v>1578052</x:v>
      </x:c>
      <x:c r="F83" s="40" t="n">
        <x:f>D83-E83</x:f>
        <x:v>0</x:v>
      </x:c>
      <x:c r="G83" s="52" t="str">
        <x:f>IF(F83=0,"OK","CHECK GAP")</x:f>
        <x:v>OK</x:v>
      </x:c>
      <x:c r="H83" s="58" t="str">
        <x:v>11.22 BBL</x:v>
      </x:c>
    </x:row>
    <x:row r="84" ht="20" customHeight="1">
      <x:c r="A84" s="43" t="n">
        <x:v>46251</x:v>
      </x:c>
      <x:c r="B84" s="40"/>
      <x:c r="C84" s="40" t="n">
        <x:v>20000</x:v>
      </x:c>
      <x:c r="D84" s="40" t="n">
        <x:f>D83+B84+C84</x:f>
        <x:v>1598052</x:v>
      </x:c>
      <x:c r="E84" s="40" t="n">
        <x:v>1598052</x:v>
      </x:c>
      <x:c r="F84" s="40" t="n">
        <x:f>D84-E84</x:f>
        <x:v>0</x:v>
      </x:c>
      <x:c r="G84" s="52" t="str">
        <x:f>IF(F84=0,"OK","CHECK GAP")</x:f>
        <x:v>OK</x:v>
      </x:c>
      <x:c r="H84" s="58" t="str">
        <x:v>11.33 BBL</x:v>
      </x:c>
    </x:row>
    <x:row r="85" ht="20" customHeight="1">
      <x:c r="A85" s="43" t="n">
        <x:v>46251</x:v>
      </x:c>
      <x:c r="B85" s="40"/>
      <x:c r="C85" s="40" t="n">
        <x:v>41500</x:v>
      </x:c>
      <x:c r="D85" s="40" t="n">
        <x:f>D84+B85+C85</x:f>
        <x:v>1639552</x:v>
      </x:c>
      <x:c r="E85" s="40" t="n">
        <x:v>1639552</x:v>
      </x:c>
      <x:c r="F85" s="40" t="n">
        <x:f>D85-E85</x:f>
        <x:v>0</x:v>
      </x:c>
      <x:c r="G85" s="52" t="str">
        <x:f>IF(F85=0,"OK","CHECK GAP")</x:f>
        <x:v>OK</x:v>
      </x:c>
      <x:c r="H85" s="58" t="str">
        <x:v>11.33 BBL</x:v>
      </x:c>
    </x:row>
    <x:row r="86" ht="20" customHeight="1">
      <x:c r="A86" s="43" t="n">
        <x:v>46252</x:v>
      </x:c>
      <x:c r="B86" s="40" t="n">
        <x:v>-504310</x:v>
      </x:c>
      <x:c r="C86" s="40"/>
      <x:c r="D86" s="40" t="n">
        <x:f>D85+B86+C86</x:f>
        <x:v>1135242</x:v>
      </x:c>
      <x:c r="E86" s="40" t="n">
        <x:v>1135242</x:v>
      </x:c>
      <x:c r="F86" s="40" t="n">
        <x:f>D86-E86</x:f>
        <x:v>0</x:v>
      </x:c>
      <x:c r="G86" s="52" t="str">
        <x:f>IF(F86=0,"OK","CHECK GAP")</x:f>
        <x:v>OK</x:v>
      </x:c>
      <x:c r="H86" s="58"/>
    </x:row>
    <x:row r="87" ht="20" customHeight="1">
      <x:c r="A87" s="43" t="n">
        <x:v>46251</x:v>
      </x:c>
      <x:c r="B87" s="40"/>
      <x:c r="C87" s="40" t="n">
        <x:v>100000</x:v>
      </x:c>
      <x:c r="D87" s="40" t="n">
        <x:f>D86+B87+C87</x:f>
        <x:v>1235242</x:v>
      </x:c>
      <x:c r="E87" s="40" t="n">
        <x:v>1235242</x:v>
      </x:c>
      <x:c r="F87" s="40" t="n">
        <x:f>D87-E87</x:f>
        <x:v>0</x:v>
      </x:c>
      <x:c r="G87" s="52" t="str">
        <x:f>IF(F87=0,"OK","CHECK GAP")</x:f>
        <x:v>OK</x:v>
      </x:c>
      <x:c r="H87" s="58"/>
    </x:row>
    <x:row r="88" ht="20" customHeight="1">
      <x:c r="A88" s="43" t="n">
        <x:v>46251</x:v>
      </x:c>
      <x:c r="B88" s="40"/>
      <x:c r="C88" s="40" t="n">
        <x:v>30000</x:v>
      </x:c>
      <x:c r="D88" s="40" t="n">
        <x:f>D87+B88+C88</x:f>
        <x:v>1265242</x:v>
      </x:c>
      <x:c r="E88" s="40" t="n">
        <x:v>1265242</x:v>
      </x:c>
      <x:c r="F88" s="40" t="n">
        <x:f>D88-E88</x:f>
        <x:v>0</x:v>
      </x:c>
      <x:c r="G88" s="52" t="str">
        <x:f>IF(F88=0,"OK","CHECK GAP")</x:f>
        <x:v>OK</x:v>
      </x:c>
      <x:c r="H88" s="58" t="str">
        <x:v>16.34 BBL</x:v>
      </x:c>
    </x:row>
    <x:row r="89" ht="20" customHeight="1">
      <x:c r="A89" s="43" t="n">
        <x:v>46251</x:v>
      </x:c>
      <x:c r="B89" s="40"/>
      <x:c r="C89" s="40" t="n">
        <x:v>14350</x:v>
      </x:c>
      <x:c r="D89" s="40" t="n">
        <x:f>D88+B89+C89</x:f>
        <x:v>1279592</x:v>
      </x:c>
      <x:c r="E89" s="40" t="n">
        <x:v>1279592</x:v>
      </x:c>
      <x:c r="F89" s="40" t="n">
        <x:f>D89-E89</x:f>
        <x:v>0</x:v>
      </x:c>
      <x:c r="G89" s="52" t="str">
        <x:f>IF(F89=0,"OK","CHECK GAP")</x:f>
        <x:v>OK</x:v>
      </x:c>
      <x:c r="H89" s="58" t="str">
        <x:v>16.42 BBL</x:v>
      </x:c>
    </x:row>
    <x:row r="90" ht="20" customHeight="1">
      <x:c r="A90" s="43" t="n">
        <x:v>46251</x:v>
      </x:c>
      <x:c r="B90" s="40"/>
      <x:c r="C90" s="40" t="n">
        <x:v>10000</x:v>
      </x:c>
      <x:c r="D90" s="40" t="n">
        <x:f>D89+B90+C90</x:f>
        <x:v>1289592</x:v>
      </x:c>
      <x:c r="E90" s="40" t="n">
        <x:v>1289592</x:v>
      </x:c>
      <x:c r="F90" s="40" t="n">
        <x:f>D90-E90</x:f>
        <x:v>0</x:v>
      </x:c>
      <x:c r="G90" s="52" t="str">
        <x:f>IF(F90=0,"OK","CHECK GAP")</x:f>
        <x:v>OK</x:v>
      </x:c>
      <x:c r="H90" s="58" t="str">
        <x:v>5.02 BBL</x:v>
      </x:c>
    </x:row>
    <x:row r="91" ht="20" customHeight="1">
      <x:c r="A91" s="43" t="n">
        <x:v>46251</x:v>
      </x:c>
      <x:c r="B91" s="40"/>
      <x:c r="C91" s="40" t="n">
        <x:v>48800</x:v>
      </x:c>
      <x:c r="D91" s="40" t="n">
        <x:f>D90+B91+C91</x:f>
        <x:v>1338392</x:v>
      </x:c>
      <x:c r="E91" s="40" t="n">
        <x:v>1338392</x:v>
      </x:c>
      <x:c r="F91" s="40" t="n">
        <x:f>D91-E91</x:f>
        <x:v>0</x:v>
      </x:c>
      <x:c r="G91" s="52" t="str">
        <x:f>IF(F91=0,"OK","CHECK GAP")</x:f>
        <x:v>OK</x:v>
      </x:c>
      <x:c r="H91" s="58" t="str">
        <x:v>17.45 BBL</x:v>
      </x:c>
    </x:row>
    <x:row r="92" ht="20" customHeight="1">
      <x:c r="A92" s="43" t="n">
        <x:v>46251</x:v>
      </x:c>
      <x:c r="B92" s="40"/>
      <x:c r="C92" s="40" t="n">
        <x:v>37400</x:v>
      </x:c>
      <x:c r="D92" s="40" t="n">
        <x:f>D91+B92+C92</x:f>
        <x:v>1375792</x:v>
      </x:c>
      <x:c r="E92" s="40" t="n">
        <x:v>1375792</x:v>
      </x:c>
      <x:c r="F92" s="40" t="n">
        <x:f>D92-E92</x:f>
        <x:v>0</x:v>
      </x:c>
      <x:c r="G92" s="52" t="str">
        <x:f>IF(F92=0,"OK","CHECK GAP")</x:f>
        <x:v>OK</x:v>
      </x:c>
      <x:c r="H92" s="58" t="str">
        <x:v>18.46 BBL</x:v>
      </x:c>
    </x:row>
    <x:row r="93" ht="20" customHeight="1">
      <x:c r="A93" s="43" t="n">
        <x:v>46251</x:v>
      </x:c>
      <x:c r="B93" s="40"/>
      <x:c r="C93" s="40" t="n">
        <x:v>11570</x:v>
      </x:c>
      <x:c r="D93" s="40" t="n">
        <x:f>D92+B93+C93</x:f>
        <x:v>1387362</x:v>
      </x:c>
      <x:c r="E93" s="40" t="n">
        <x:v>1387362</x:v>
      </x:c>
      <x:c r="F93" s="40" t="n">
        <x:f>D93-E93</x:f>
        <x:v>0</x:v>
      </x:c>
      <x:c r="G93" s="52" t="str">
        <x:f>IF(F93=0,"OK","CHECK GAP")</x:f>
        <x:v>OK</x:v>
      </x:c>
      <x:c r="H93" s="58" t="str">
        <x:v>19.49 BBL</x:v>
      </x:c>
    </x:row>
    <x:row r="94" ht="20" customHeight="1">
      <x:c r="A94" s="43" t="n">
        <x:v>46253</x:v>
      </x:c>
      <x:c r="B94" s="40" t="n">
        <x:v>-706506</x:v>
      </x:c>
      <x:c r="C94" s="40"/>
      <x:c r="D94" s="40" t="n">
        <x:f>D93+B94+C94</x:f>
        <x:v>680856</x:v>
      </x:c>
      <x:c r="E94" s="40" t="n">
        <x:v>680856</x:v>
      </x:c>
      <x:c r="F94" s="40" t="n">
        <x:f>D94-E94</x:f>
        <x:v>0</x:v>
      </x:c>
      <x:c r="G94" s="52" t="str">
        <x:f>IF(F94=0,"OK","CHECK GAP")</x:f>
        <x:v>OK</x:v>
      </x:c>
      <x:c r="H94" s="58"/>
    </x:row>
    <x:row r="95" ht="20" customHeight="1">
      <x:c r="A95" s="43" t="n">
        <x:v>46252</x:v>
      </x:c>
      <x:c r="B95" s="40"/>
      <x:c r="C95" s="40" t="n">
        <x:v>50000</x:v>
      </x:c>
      <x:c r="D95" s="40" t="n">
        <x:f>D94+B95+C95</x:f>
        <x:v>730856</x:v>
      </x:c>
      <x:c r="E95" s="40" t="n">
        <x:v>730856</x:v>
      </x:c>
      <x:c r="F95" s="40" t="n">
        <x:f>D95-E95</x:f>
        <x:v>0</x:v>
      </x:c>
      <x:c r="G95" s="52" t="str">
        <x:f>IF(F95=0,"OK","CHECK GAP")</x:f>
        <x:v>OK</x:v>
      </x:c>
      <x:c r="H95" s="58" t="str">
        <x:v>14.58 BBL</x:v>
      </x:c>
    </x:row>
    <x:row r="96" ht="20" customHeight="1">
      <x:c r="A96" s="43" t="n">
        <x:v>46250</x:v>
      </x:c>
      <x:c r="B96" s="40"/>
      <x:c r="C96" s="40" t="n">
        <x:v>48695</x:v>
      </x:c>
      <x:c r="D96" s="40" t="n">
        <x:f>D95+B96+C96</x:f>
        <x:v>779551</x:v>
      </x:c>
      <x:c r="E96" s="40" t="n">
        <x:v>779551</x:v>
      </x:c>
      <x:c r="F96" s="40" t="n">
        <x:f>D96-E96</x:f>
        <x:v>0</x:v>
      </x:c>
      <x:c r="G96" s="52" t="str">
        <x:f>IF(F96=0,"OK","CHECK GAP")</x:f>
        <x:v>OK</x:v>
      </x:c>
      <x:c r="H96" s="58" t="str">
        <x:v>11.56 BBL</x:v>
      </x:c>
    </x:row>
    <x:row r="97" ht="20" customHeight="1">
      <x:c r="A97" s="43" t="n">
        <x:v>46250</x:v>
      </x:c>
      <x:c r="B97" s="40"/>
      <x:c r="C97" s="40" t="n">
        <x:v>49000</x:v>
      </x:c>
      <x:c r="D97" s="40" t="n">
        <x:f>D96+B97+C97</x:f>
        <x:v>828551</x:v>
      </x:c>
      <x:c r="E97" s="40" t="n">
        <x:v>828551</x:v>
      </x:c>
      <x:c r="F97" s="40" t="n">
        <x:f>D97-E97</x:f>
        <x:v>0</x:v>
      </x:c>
      <x:c r="G97" s="52" t="str">
        <x:f>IF(F97=0,"OK","CHECK GAP")</x:f>
        <x:v>OK</x:v>
      </x:c>
      <x:c r="H97" s="58" t="str">
        <x:v>10.14 BBL</x:v>
      </x:c>
    </x:row>
    <x:row r="98" ht="20" customHeight="1">
      <x:c r="A98" s="43" t="n">
        <x:v>46250</x:v>
      </x:c>
      <x:c r="B98" s="40"/>
      <x:c r="C98" s="40" t="n">
        <x:v>50000</x:v>
      </x:c>
      <x:c r="D98" s="40" t="n">
        <x:f>D97+B98+C98</x:f>
        <x:v>878551</x:v>
      </x:c>
      <x:c r="E98" s="40" t="n">
        <x:v>878551</x:v>
      </x:c>
      <x:c r="F98" s="40" t="n">
        <x:f>D98-E98</x:f>
        <x:v>0</x:v>
      </x:c>
      <x:c r="G98" s="52" t="str">
        <x:f>IF(F98=0,"OK","CHECK GAP")</x:f>
        <x:v>OK</x:v>
      </x:c>
      <x:c r="H98" s="58" t="str">
        <x:v>7.18 BBL</x:v>
      </x:c>
    </x:row>
    <x:row r="99" ht="20" customHeight="1">
      <x:c r="A99" s="43" t="n">
        <x:v>46249</x:v>
      </x:c>
      <x:c r="B99" s="40"/>
      <x:c r="C99" s="40" t="n">
        <x:v>30000</x:v>
      </x:c>
      <x:c r="D99" s="40" t="n">
        <x:f>D98+B99+C99</x:f>
        <x:v>908551</x:v>
      </x:c>
      <x:c r="E99" s="40" t="n">
        <x:v>908551</x:v>
      </x:c>
      <x:c r="F99" s="40" t="n">
        <x:f>D99-E99</x:f>
        <x:v>0</x:v>
      </x:c>
      <x:c r="G99" s="52" t="str">
        <x:f>IF(F99=0,"OK","CHECK GAP")</x:f>
        <x:v>OK</x:v>
      </x:c>
      <x:c r="H99" s="58" t="str">
        <x:v>21.17 BBL</x:v>
      </x:c>
    </x:row>
    <x:row r="100" ht="20" customHeight="1">
      <x:c r="A100" s="43" t="n">
        <x:v>46249</x:v>
      </x:c>
      <x:c r="B100" s="40"/>
      <x:c r="C100" s="40" t="n">
        <x:v>28000</x:v>
      </x:c>
      <x:c r="D100" s="40" t="n">
        <x:f>D99+B100+C100</x:f>
        <x:v>936551</x:v>
      </x:c>
      <x:c r="E100" s="40" t="n">
        <x:v>936551</x:v>
      </x:c>
      <x:c r="F100" s="40" t="n">
        <x:f>D100-E100</x:f>
        <x:v>0</x:v>
      </x:c>
      <x:c r="G100" s="52" t="str">
        <x:f>IF(F100=0,"OK","CHECK GAP")</x:f>
        <x:v>OK</x:v>
      </x:c>
      <x:c r="H100" s="58" t="str">
        <x:v>21.12 BBL</x:v>
      </x:c>
    </x:row>
    <x:row r="101" ht="20" customHeight="1">
      <x:c r="A101" s="43" t="n">
        <x:v>46253</x:v>
      </x:c>
      <x:c r="B101" s="40" t="n">
        <x:v>-1176000</x:v>
      </x:c>
      <x:c r="C101" s="40"/>
      <x:c r="D101" s="40" t="n">
        <x:f>D100+B101+C101</x:f>
        <x:v>-239449</x:v>
      </x:c>
      <x:c r="E101" s="40" t="n">
        <x:v>-239449</x:v>
      </x:c>
      <x:c r="F101" s="40" t="n">
        <x:f>D101-E101</x:f>
        <x:v>0</x:v>
      </x:c>
      <x:c r="G101" s="52" t="str">
        <x:f>IF(F101=0,"OK","CHECK GAP")</x:f>
        <x:v>OK</x:v>
      </x:c>
      <x:c r="H101" s="58" t="str">
        <x:v>SO6908008</x:v>
      </x:c>
    </x:row>
    <x:row r="102" ht="20" customHeight="1">
      <x:c r="A102" s="43" t="n">
        <x:v>46254</x:v>
      </x:c>
      <x:c r="B102" s="40" t="n">
        <x:v>-952586</x:v>
      </x:c>
      <x:c r="C102" s="40"/>
      <x:c r="D102" s="40" t="n">
        <x:f>D101+B102+C102</x:f>
        <x:v>-1192035</x:v>
      </x:c>
      <x:c r="E102" s="40" t="n">
        <x:v>-1192035</x:v>
      </x:c>
      <x:c r="F102" s="40" t="n">
        <x:f>D102-E102</x:f>
        <x:v>0</x:v>
      </x:c>
      <x:c r="G102" s="52" t="str">
        <x:f>IF(F102=0,"OK","CHECK GAP")</x:f>
        <x:v>OK</x:v>
      </x:c>
      <x:c r="H102" s="58"/>
    </x:row>
    <x:row r="103" ht="20" customHeight="1">
      <x:c r="A103" s="43" t="n">
        <x:v>46253</x:v>
      </x:c>
      <x:c r="B103" s="40"/>
      <x:c r="C103" s="40" t="n">
        <x:v>26650</x:v>
      </x:c>
      <x:c r="D103" s="40" t="n">
        <x:f>D102+B103+C103</x:f>
        <x:v>-1165385</x:v>
      </x:c>
      <x:c r="E103" s="40" t="n">
        <x:v>-1165385</x:v>
      </x:c>
      <x:c r="F103" s="40" t="n">
        <x:f>D103-E103</x:f>
        <x:v>0</x:v>
      </x:c>
      <x:c r="G103" s="52" t="str">
        <x:f>IF(F103=0,"OK","CHECK GAP")</x:f>
        <x:v>OK</x:v>
      </x:c>
      <x:c r="H103" s="58" t="str">
        <x:v>16.08 BBL</x:v>
      </x:c>
    </x:row>
    <x:row r="104" ht="20" customHeight="1">
      <x:c r="A104" s="43" t="n">
        <x:v>46253</x:v>
      </x:c>
      <x:c r="B104" s="40"/>
      <x:c r="C104" s="40" t="n">
        <x:v>40000</x:v>
      </x:c>
      <x:c r="D104" s="40" t="n">
        <x:f>D103+B104+C104</x:f>
        <x:v>-1125385</x:v>
      </x:c>
      <x:c r="E104" s="40" t="n">
        <x:v>-1125385</x:v>
      </x:c>
      <x:c r="F104" s="40" t="n">
        <x:f>D104-E104</x:f>
        <x:v>0</x:v>
      </x:c>
      <x:c r="G104" s="52" t="str">
        <x:f>IF(F104=0,"OK","CHECK GAP")</x:f>
        <x:v>OK</x:v>
      </x:c>
      <x:c r="H104" s="58" t="str">
        <x:v>16.24 BBL</x:v>
      </x:c>
    </x:row>
    <x:row r="105" ht="20" customHeight="1">
      <x:c r="A105" s="43" t="n">
        <x:v>46253</x:v>
      </x:c>
      <x:c r="B105" s="40"/>
      <x:c r="C105" s="40" t="n">
        <x:v>31000</x:v>
      </x:c>
      <x:c r="D105" s="40" t="n">
        <x:f>D104+B105+C105</x:f>
        <x:v>-1094385</x:v>
      </x:c>
      <x:c r="E105" s="40" t="n">
        <x:v>-1094385</x:v>
      </x:c>
      <x:c r="F105" s="40" t="n">
        <x:f>D105-E105</x:f>
        <x:v>0</x:v>
      </x:c>
      <x:c r="G105" s="52" t="str">
        <x:f>IF(F105=0,"OK","CHECK GAP")</x:f>
        <x:v>OK</x:v>
      </x:c>
      <x:c r="H105" s="58" t="str">
        <x:v>4.22 BBL</x:v>
      </x:c>
    </x:row>
    <x:row r="106" ht="20" customHeight="1">
      <x:c r="A106" s="43" t="n">
        <x:v>46253</x:v>
      </x:c>
      <x:c r="B106" s="40"/>
      <x:c r="C106" s="40" t="n">
        <x:v>41200</x:v>
      </x:c>
      <x:c r="D106" s="40" t="n">
        <x:f>D105+B106+C106</x:f>
        <x:v>-1053185</x:v>
      </x:c>
      <x:c r="E106" s="40" t="n">
        <x:v>-1053185</x:v>
      </x:c>
      <x:c r="F106" s="40" t="n">
        <x:f>D106-E106</x:f>
        <x:v>0</x:v>
      </x:c>
      <x:c r="G106" s="52" t="str">
        <x:f>IF(F106=0,"OK","CHECK GAP")</x:f>
        <x:v>OK</x:v>
      </x:c>
      <x:c r="H106" s="58" t="str">
        <x:v>4.16 BBL</x:v>
      </x:c>
    </x:row>
    <x:row r="107" ht="20" customHeight="1">
      <x:c r="A107" s="43" t="n">
        <x:v>46253</x:v>
      </x:c>
      <x:c r="B107" s="40"/>
      <x:c r="C107" s="40" t="n">
        <x:v>40000</x:v>
      </x:c>
      <x:c r="D107" s="40" t="n">
        <x:f>D106+B107+C107</x:f>
        <x:v>-1013185</x:v>
      </x:c>
      <x:c r="E107" s="40" t="n">
        <x:v>-1013185</x:v>
      </x:c>
      <x:c r="F107" s="40" t="n">
        <x:f>D107-E107</x:f>
        <x:v>0</x:v>
      </x:c>
      <x:c r="G107" s="52" t="str">
        <x:f>IF(F107=0,"OK","CHECK GAP")</x:f>
        <x:v>OK</x:v>
      </x:c>
      <x:c r="H107" s="58" t="str">
        <x:v>4.39 BBL</x:v>
      </x:c>
    </x:row>
    <x:row r="108" ht="20" customHeight="1">
      <x:c r="A108" s="43" t="n">
        <x:v>46253</x:v>
      </x:c>
      <x:c r="B108" s="40"/>
      <x:c r="C108" s="40" t="n">
        <x:v>72150</x:v>
      </x:c>
      <x:c r="D108" s="40" t="n">
        <x:f>D107+B108+C108</x:f>
        <x:v>-941035</x:v>
      </x:c>
      <x:c r="E108" s="40" t="n">
        <x:v>-941035</x:v>
      </x:c>
      <x:c r="F108" s="40" t="n">
        <x:f>D108-E108</x:f>
        <x:v>0</x:v>
      </x:c>
      <x:c r="G108" s="52" t="str">
        <x:f>IF(F108=0,"OK","CHECK GAP")</x:f>
        <x:v>OK</x:v>
      </x:c>
      <x:c r="H108" s="58" t="str">
        <x:v>17.32 BBL</x:v>
      </x:c>
    </x:row>
    <x:row r="109" ht="20" customHeight="1">
      <x:c r="A109" s="43" t="n">
        <x:v>46253</x:v>
      </x:c>
      <x:c r="B109" s="40"/>
      <x:c r="C109" s="40" t="n">
        <x:v>49000</x:v>
      </x:c>
      <x:c r="D109" s="40" t="n">
        <x:f>D108+B109+C109</x:f>
        <x:v>-892035</x:v>
      </x:c>
      <x:c r="E109" s="40" t="n">
        <x:v>-892035</x:v>
      </x:c>
      <x:c r="F109" s="40" t="n">
        <x:f>D109-E109</x:f>
        <x:v>0</x:v>
      </x:c>
      <x:c r="G109" s="52" t="str">
        <x:f>IF(F109=0,"OK","CHECK GAP")</x:f>
        <x:v>OK</x:v>
      </x:c>
      <x:c r="H109" s="58" t="str">
        <x:v>16.06 BBL</x:v>
      </x:c>
    </x:row>
    <x:row r="110" ht="20" customHeight="1">
      <x:c r="A110" s="43" t="n">
        <x:v>46254</x:v>
      </x:c>
      <x:c r="B110" s="40"/>
      <x:c r="C110" s="40" t="n">
        <x:v>49500</x:v>
      </x:c>
      <x:c r="D110" s="40" t="n">
        <x:f>D109+B110+C110</x:f>
        <x:v>-842535</x:v>
      </x:c>
      <x:c r="E110" s="40" t="n">
        <x:v>-842535</x:v>
      </x:c>
      <x:c r="F110" s="40" t="n">
        <x:f>D110-E110</x:f>
        <x:v>0</x:v>
      </x:c>
      <x:c r="G110" s="52" t="str">
        <x:f>IF(F110=0,"OK","CHECK GAP")</x:f>
        <x:v>OK</x:v>
      </x:c>
      <x:c r="H110" s="58" t="str">
        <x:v>10.37 BBL</x:v>
      </x:c>
    </x:row>
    <x:row r="111" ht="20" customHeight="1">
      <x:c r="A111" s="43" t="n">
        <x:v>46254</x:v>
      </x:c>
      <x:c r="B111" s="40"/>
      <x:c r="C111" s="40" t="n">
        <x:v>47500</x:v>
      </x:c>
      <x:c r="D111" s="40" t="n">
        <x:f>D110+B111+C111</x:f>
        <x:v>-795035</x:v>
      </x:c>
      <x:c r="E111" s="40" t="n">
        <x:v>-795035</x:v>
      </x:c>
      <x:c r="F111" s="40" t="n">
        <x:f>D111-E111</x:f>
        <x:v>0</x:v>
      </x:c>
      <x:c r="G111" s="52" t="str">
        <x:f>IF(F111=0,"OK","CHECK GAP")</x:f>
        <x:v>OK</x:v>
      </x:c>
      <x:c r="H111" s="58" t="str">
        <x:v>10.31 BBL</x:v>
      </x:c>
    </x:row>
    <x:row r="112" ht="20" customHeight="1">
      <x:c r="A112" s="43" t="n">
        <x:v>46254</x:v>
      </x:c>
      <x:c r="B112" s="40"/>
      <x:c r="C112" s="40" t="n">
        <x:v>49500</x:v>
      </x:c>
      <x:c r="D112" s="40" t="n">
        <x:f>D111+B112+C112</x:f>
        <x:v>-745535</x:v>
      </x:c>
      <x:c r="E112" s="40" t="n">
        <x:v>-745535</x:v>
      </x:c>
      <x:c r="F112" s="40" t="n">
        <x:f>D112-E112</x:f>
        <x:v>0</x:v>
      </x:c>
      <x:c r="G112" s="52" t="str">
        <x:f>IF(F112=0,"OK","CHECK GAP")</x:f>
        <x:v>OK</x:v>
      </x:c>
      <x:c r="H112" s="58" t="str">
        <x:v>10.28 BBL</x:v>
      </x:c>
    </x:row>
    <x:row r="113" ht="20" customHeight="1">
      <x:c r="A113" s="43" t="n">
        <x:v>46254</x:v>
      </x:c>
      <x:c r="B113" s="40"/>
      <x:c r="C113" s="40" t="n">
        <x:v>4900</x:v>
      </x:c>
      <x:c r="D113" s="40" t="n">
        <x:f>D112+B113+C113</x:f>
        <x:v>-740635</x:v>
      </x:c>
      <x:c r="E113" s="40" t="n">
        <x:v>-740635</x:v>
      </x:c>
      <x:c r="F113" s="40" t="n">
        <x:f>D113-E113</x:f>
        <x:v>0</x:v>
      </x:c>
      <x:c r="G113" s="52" t="str">
        <x:f>IF(F113=0,"OK","CHECK GAP")</x:f>
        <x:v>OK</x:v>
      </x:c>
      <x:c r="H113" s="58" t="str">
        <x:v>10.57 BBL</x:v>
      </x:c>
    </x:row>
    <x:row r="114" ht="20" customHeight="1">
      <x:c r="A114" s="43" t="n">
        <x:v>46255</x:v>
      </x:c>
      <x:c r="B114" s="40" t="n">
        <x:v>-191120</x:v>
      </x:c>
      <x:c r="C114" s="40"/>
      <x:c r="D114" s="40" t="n">
        <x:f>D113+B114+C114</x:f>
        <x:v>-931755</x:v>
      </x:c>
      <x:c r="E114" s="40" t="n">
        <x:v>-931755</x:v>
      </x:c>
      <x:c r="F114" s="40" t="n">
        <x:f>D114-E114</x:f>
        <x:v>0</x:v>
      </x:c>
      <x:c r="G114" s="52" t="str">
        <x:f>IF(F114=0,"OK","CHECK GAP")</x:f>
        <x:v>OK</x:v>
      </x:c>
      <x:c r="H114" s="58"/>
    </x:row>
    <x:row r="115" ht="20" customHeight="1">
      <x:c r="A115" s="43" t="n">
        <x:v>46254</x:v>
      </x:c>
      <x:c r="B115" s="40" t="n">
        <x:v>-365000</x:v>
      </x:c>
      <x:c r="C115" s="40"/>
      <x:c r="D115" s="40" t="n">
        <x:f>D114+B115+C115</x:f>
        <x:v>-1296755</x:v>
      </x:c>
      <x:c r="E115" s="40" t="n">
        <x:v>-1296755</x:v>
      </x:c>
      <x:c r="F115" s="40" t="n">
        <x:f>D115-E115</x:f>
        <x:v>0</x:v>
      </x:c>
      <x:c r="G115" s="52" t="str">
        <x:f>IF(F115=0,"OK","CHECK GAP")</x:f>
        <x:v>OK</x:v>
      </x:c>
      <x:c r="H115" s="58" t="str">
        <x:v>SO6908009</x:v>
      </x:c>
    </x:row>
    <x:row r="116" ht="20" customHeight="1">
      <x:c r="A116" s="43" t="n">
        <x:v>46254</x:v>
      </x:c>
      <x:c r="B116" s="40"/>
      <x:c r="C116" s="40" t="n">
        <x:v>28825</x:v>
      </x:c>
      <x:c r="D116" s="40" t="n">
        <x:f>D115+B116+C116</x:f>
        <x:v>-1267930</x:v>
      </x:c>
      <x:c r="E116" s="40" t="n">
        <x:v>-1267930</x:v>
      </x:c>
      <x:c r="F116" s="40" t="n">
        <x:f>D116-E116</x:f>
        <x:v>0</x:v>
      </x:c>
      <x:c r="G116" s="52" t="str">
        <x:f>IF(F116=0,"OK","CHECK GAP")</x:f>
        <x:v>OK</x:v>
      </x:c>
      <x:c r="H116" s="58" t="str">
        <x:v>16.12 BBL</x:v>
      </x:c>
    </x:row>
    <x:row r="117" ht="20" customHeight="1">
      <x:c r="A117" s="43" t="n">
        <x:v>46254</x:v>
      </x:c>
      <x:c r="B117" s="40"/>
      <x:c r="C117" s="40" t="n">
        <x:v>25600</x:v>
      </x:c>
      <x:c r="D117" s="40" t="n">
        <x:f>D116+B117+C117</x:f>
        <x:v>-1242330</x:v>
      </x:c>
      <x:c r="E117" s="40" t="n">
        <x:v>-1242330</x:v>
      </x:c>
      <x:c r="F117" s="40" t="n">
        <x:f>D117-E117</x:f>
        <x:v>0</x:v>
      </x:c>
      <x:c r="G117" s="52" t="str">
        <x:f>IF(F117=0,"OK","CHECK GAP")</x:f>
        <x:v>OK</x:v>
      </x:c>
      <x:c r="H117" s="58" t="str">
        <x:v>12.52 BBL</x:v>
      </x:c>
    </x:row>
    <x:row r="118" ht="20" customHeight="1">
      <x:c r="A118" s="43" t="n">
        <x:v>46254</x:v>
      </x:c>
      <x:c r="B118" s="40"/>
      <x:c r="C118" s="40" t="n">
        <x:v>23000</x:v>
      </x:c>
      <x:c r="D118" s="40" t="n">
        <x:f>D117+B118+C118</x:f>
        <x:v>-1219330</x:v>
      </x:c>
      <x:c r="E118" s="40" t="n">
        <x:v>-1219330</x:v>
      </x:c>
      <x:c r="F118" s="40" t="n">
        <x:f>D118-E118</x:f>
        <x:v>0</x:v>
      </x:c>
      <x:c r="G118" s="52" t="str">
        <x:f>IF(F118=0,"OK","CHECK GAP")</x:f>
        <x:v>OK</x:v>
      </x:c>
      <x:c r="H118" s="58" t="str">
        <x:v>12.50 BBL</x:v>
      </x:c>
    </x:row>
    <x:row r="119" ht="20" customHeight="1">
      <x:c r="A119" s="43" t="n">
        <x:v>46255</x:v>
      </x:c>
      <x:c r="B119" s="40"/>
      <x:c r="C119" s="40" t="n">
        <x:v>14200</x:v>
      </x:c>
      <x:c r="D119" s="40" t="n">
        <x:f>D118+B119+C119</x:f>
        <x:v>-1205130</x:v>
      </x:c>
      <x:c r="E119" s="40" t="n">
        <x:v>-1205130</x:v>
      </x:c>
      <x:c r="F119" s="40" t="n">
        <x:f>D119-E119</x:f>
        <x:v>0</x:v>
      </x:c>
      <x:c r="G119" s="52" t="str">
        <x:f>IF(F119=0,"OK","CHECK GAP")</x:f>
        <x:v>OK</x:v>
      </x:c>
      <x:c r="H119" s="58" t="str">
        <x:v>11.21 BBL</x:v>
      </x:c>
    </x:row>
    <x:row r="120" ht="20" customHeight="1">
      <x:c r="A120" s="43" t="n">
        <x:v>46255</x:v>
      </x:c>
      <x:c r="B120" s="40"/>
      <x:c r="C120" s="40" t="n">
        <x:v>28240</x:v>
      </x:c>
      <x:c r="D120" s="40" t="n">
        <x:f>D119+B120+C120</x:f>
        <x:v>-1176890</x:v>
      </x:c>
      <x:c r="E120" s="40" t="n">
        <x:v>-1176890</x:v>
      </x:c>
      <x:c r="F120" s="40" t="n">
        <x:f>D120-E120</x:f>
        <x:v>0</x:v>
      </x:c>
      <x:c r="G120" s="52" t="str">
        <x:f>IF(F120=0,"OK","CHECK GAP")</x:f>
        <x:v>OK</x:v>
      </x:c>
      <x:c r="H120" s="58" t="str">
        <x:v>1.14 BBL</x:v>
      </x:c>
    </x:row>
    <x:row r="121" ht="20" customHeight="1">
      <x:c r="A121" s="43" t="n">
        <x:v>46255</x:v>
      </x:c>
      <x:c r="B121" s="40"/>
      <x:c r="C121" s="40" t="n">
        <x:v>33000</x:v>
      </x:c>
      <x:c r="D121" s="40" t="n">
        <x:f>D120+B121+C121</x:f>
        <x:v>-1143890</x:v>
      </x:c>
      <x:c r="E121" s="40" t="n">
        <x:v>-1143890</x:v>
      </x:c>
      <x:c r="F121" s="40" t="n">
        <x:f>D121-E121</x:f>
        <x:v>0</x:v>
      </x:c>
      <x:c r="G121" s="52" t="str">
        <x:f>IF(F121=0,"OK","CHECK GAP")</x:f>
        <x:v>OK</x:v>
      </x:c>
      <x:c r="H121" s="58" t="str">
        <x:v>13.11 BBL</x:v>
      </x:c>
    </x:row>
    <x:row r="122" ht="20" customHeight="1">
      <x:c r="A122" s="43" t="n">
        <x:v>46255</x:v>
      </x:c>
      <x:c r="B122" s="40"/>
      <x:c r="C122" s="40" t="n">
        <x:v>44487</x:v>
      </x:c>
      <x:c r="D122" s="40" t="n">
        <x:f>D121+B122+C122</x:f>
        <x:v>-1099403</x:v>
      </x:c>
      <x:c r="E122" s="40" t="n">
        <x:v>-1099403</x:v>
      </x:c>
      <x:c r="F122" s="40" t="n">
        <x:f>D122-E122</x:f>
        <x:v>0</x:v>
      </x:c>
      <x:c r="G122" s="52" t="str">
        <x:f>IF(F122=0,"OK","CHECK GAP")</x:f>
        <x:v>OK</x:v>
      </x:c>
      <x:c r="H122" s="58" t="str">
        <x:v>1.27 BBL</x:v>
      </x:c>
    </x:row>
    <x:row r="123" ht="20" customHeight="1">
      <x:c r="A123" s="43" t="n">
        <x:v>46237</x:v>
      </x:c>
      <x:c r="B123" s="40"/>
      <x:c r="C123" s="40" t="n">
        <x:v>46000</x:v>
      </x:c>
      <x:c r="D123" s="40" t="n">
        <x:f>D122+B123+C123</x:f>
        <x:v>-1053403</x:v>
      </x:c>
      <x:c r="E123" s="40" t="n">
        <x:v>-1053403</x:v>
      </x:c>
      <x:c r="F123" s="40" t="n">
        <x:f>D123-E123</x:f>
        <x:v>0</x:v>
      </x:c>
      <x:c r="G123" s="52" t="str">
        <x:f>IF(F123=0,"OK","CHECK GAP")</x:f>
        <x:v>OK</x:v>
      </x:c>
      <x:c r="H123" s="58" t="str">
        <x:v>10.37 K</x:v>
      </x:c>
    </x:row>
    <x:row r="124" ht="20" customHeight="1">
      <x:c r="A124" s="43" t="n">
        <x:v>46237</x:v>
      </x:c>
      <x:c r="B124" s="40"/>
      <x:c r="C124" s="40" t="n">
        <x:v>42000</x:v>
      </x:c>
      <x:c r="D124" s="40" t="n">
        <x:f>D123+B124+C124</x:f>
        <x:v>-1011403</x:v>
      </x:c>
      <x:c r="E124" s="40" t="n">
        <x:v>-1011403</x:v>
      </x:c>
      <x:c r="F124" s="40" t="n">
        <x:f>D124-E124</x:f>
        <x:v>0</x:v>
      </x:c>
      <x:c r="G124" s="52" t="str">
        <x:f>IF(F124=0,"OK","CHECK GAP")</x:f>
        <x:v>OK</x:v>
      </x:c>
      <x:c r="H124" s="58" t="str">
        <x:v>10.37 K</x:v>
      </x:c>
    </x:row>
    <x:row r="125" ht="20" customHeight="1">
      <x:c r="A125" s="43" t="n">
        <x:v>46237</x:v>
      </x:c>
      <x:c r="B125" s="40"/>
      <x:c r="C125" s="40" t="n">
        <x:v>49900</x:v>
      </x:c>
      <x:c r="D125" s="40" t="n">
        <x:f>D124+B125+C125</x:f>
        <x:v>-961503</x:v>
      </x:c>
      <x:c r="E125" s="40" t="n">
        <x:v>-961503</x:v>
      </x:c>
      <x:c r="F125" s="40" t="n">
        <x:f>D125-E125</x:f>
        <x:v>0</x:v>
      </x:c>
      <x:c r="G125" s="52" t="str">
        <x:f>IF(F125=0,"OK","CHECK GAP")</x:f>
        <x:v>OK</x:v>
      </x:c>
      <x:c r="H125" s="58" t="str">
        <x:v>10.41 K</x:v>
      </x:c>
    </x:row>
    <x:row r="126" ht="20" customHeight="1">
      <x:c r="A126" s="43" t="n">
        <x:v>46237</x:v>
      </x:c>
      <x:c r="B126" s="40"/>
      <x:c r="C126" s="40" t="n">
        <x:v>49500</x:v>
      </x:c>
      <x:c r="D126" s="40" t="n">
        <x:f>D125+B126+C126</x:f>
        <x:v>-912003</x:v>
      </x:c>
      <x:c r="E126" s="40" t="n">
        <x:v>-912003</x:v>
      </x:c>
      <x:c r="F126" s="40" t="n">
        <x:f>D126-E126</x:f>
        <x:v>0</x:v>
      </x:c>
      <x:c r="G126" s="52" t="str">
        <x:f>IF(F126=0,"OK","CHECK GAP")</x:f>
        <x:v>OK</x:v>
      </x:c>
      <x:c r="H126" s="58" t="str">
        <x:v>10.47 K</x:v>
      </x:c>
    </x:row>
    <x:row r="127" ht="20" customHeight="1">
      <x:c r="A127" s="43" t="n">
        <x:v>46255</x:v>
      </x:c>
      <x:c r="B127" s="40"/>
      <x:c r="C127" s="40" t="n">
        <x:v>10040</x:v>
      </x:c>
      <x:c r="D127" s="40" t="n">
        <x:f>D126+B127+C127</x:f>
        <x:v>-901963</x:v>
      </x:c>
      <x:c r="E127" s="40" t="n">
        <x:v>-901963</x:v>
      </x:c>
      <x:c r="F127" s="40" t="n">
        <x:f>D127-E127</x:f>
        <x:v>0</x:v>
      </x:c>
      <x:c r="G127" s="52" t="str">
        <x:f>IF(F127=0,"OK","CHECK GAP")</x:f>
        <x:v>OK</x:v>
      </x:c>
      <x:c r="H127" s="58" t="str">
        <x:v>14.34 BBL</x:v>
      </x:c>
    </x:row>
    <x:row r="128" ht="20" customHeight="1">
      <x:c r="A128" s="43" t="n">
        <x:v>46255</x:v>
      </x:c>
      <x:c r="B128" s="40"/>
      <x:c r="C128" s="40" t="n">
        <x:v>32000</x:v>
      </x:c>
      <x:c r="D128" s="40" t="n">
        <x:f>D127+B128+C128</x:f>
        <x:v>-869963</x:v>
      </x:c>
      <x:c r="E128" s="40" t="n">
        <x:v>-869963</x:v>
      </x:c>
      <x:c r="F128" s="40" t="n">
        <x:f>D128-E128</x:f>
        <x:v>0</x:v>
      </x:c>
      <x:c r="G128" s="52" t="str">
        <x:f>IF(F128=0,"OK","CHECK GAP")</x:f>
        <x:v>OK</x:v>
      </x:c>
      <x:c r="H128" s="58" t="str">
        <x:v>15.28 BBL</x:v>
      </x:c>
    </x:row>
    <x:row r="129" ht="20" customHeight="1">
      <x:c r="A129" s="43" t="n">
        <x:v>46255</x:v>
      </x:c>
      <x:c r="B129" s="40"/>
      <x:c r="C129" s="40" t="n">
        <x:v>49999</x:v>
      </x:c>
      <x:c r="D129" s="40" t="n">
        <x:f>D128+B129+C129</x:f>
        <x:v>-819964</x:v>
      </x:c>
      <x:c r="E129" s="40" t="n">
        <x:v>-819964</x:v>
      </x:c>
      <x:c r="F129" s="40" t="n">
        <x:f>D129-E129</x:f>
        <x:v>0</x:v>
      </x:c>
      <x:c r="G129" s="52" t="str">
        <x:f>IF(F129=0,"OK","CHECK GAP")</x:f>
        <x:v>OK</x:v>
      </x:c>
      <x:c r="H129" s="58" t="str">
        <x:v>13.44 BBL</x:v>
      </x:c>
    </x:row>
    <x:row r="130" ht="20" customHeight="1">
      <x:c r="A130" s="43" t="n">
        <x:v>46255</x:v>
      </x:c>
      <x:c r="B130" s="40"/>
      <x:c r="C130" s="40" t="n">
        <x:v>49999</x:v>
      </x:c>
      <x:c r="D130" s="40" t="n">
        <x:f>D129+B130+C130</x:f>
        <x:v>-769965</x:v>
      </x:c>
      <x:c r="E130" s="40" t="n">
        <x:v>-769965</x:v>
      </x:c>
      <x:c r="F130" s="40" t="n">
        <x:f>D130-E130</x:f>
        <x:v>0</x:v>
      </x:c>
      <x:c r="G130" s="52" t="str">
        <x:f>IF(F130=0,"OK","CHECK GAP")</x:f>
        <x:v>OK</x:v>
      </x:c>
      <x:c r="H130" s="58" t="str">
        <x:v>14.28 BBL</x:v>
      </x:c>
    </x:row>
    <x:row r="131" ht="20" customHeight="1">
      <x:c r="A131" s="43" t="n">
        <x:v>46255</x:v>
      </x:c>
      <x:c r="B131" s="40"/>
      <x:c r="C131" s="40" t="n">
        <x:v>49999</x:v>
      </x:c>
      <x:c r="D131" s="40" t="n">
        <x:f>D130+B131+C131</x:f>
        <x:v>-719966</x:v>
      </x:c>
      <x:c r="E131" s="40" t="n">
        <x:v>-719966</x:v>
      </x:c>
      <x:c r="F131" s="40" t="n">
        <x:f>D131-E131</x:f>
        <x:v>0</x:v>
      </x:c>
      <x:c r="G131" s="52" t="str">
        <x:f>IF(F131=0,"OK","CHECK GAP")</x:f>
        <x:v>OK</x:v>
      </x:c>
      <x:c r="H131" s="58" t="str">
        <x:v>15.07 BBL</x:v>
      </x:c>
    </x:row>
    <x:row r="132" ht="20" customHeight="1">
      <x:c r="A132" s="43" t="n">
        <x:v>46255</x:v>
      </x:c>
      <x:c r="B132" s="40"/>
      <x:c r="C132" s="40" t="n">
        <x:v>4678</x:v>
      </x:c>
      <x:c r="D132" s="40" t="n">
        <x:f>D131+B132+C132</x:f>
        <x:v>-715288</x:v>
      </x:c>
      <x:c r="E132" s="40" t="n">
        <x:v>-715288</x:v>
      </x:c>
      <x:c r="F132" s="40" t="n">
        <x:f>D132-E132</x:f>
        <x:v>0</x:v>
      </x:c>
      <x:c r="G132" s="52" t="str">
        <x:f>IF(F132=0,"OK","CHECK GAP")</x:f>
        <x:v>OK</x:v>
      </x:c>
      <x:c r="H132" s="58" t="str">
        <x:v>3.15 BBL</x:v>
      </x:c>
    </x:row>
    <x:row r="133" ht="20" customHeight="1">
      <x:c r="A133" s="43" t="n">
        <x:v>46255</x:v>
      </x:c>
      <x:c r="B133" s="40"/>
      <x:c r="C133" s="40" t="n">
        <x:v>45325</x:v>
      </x:c>
      <x:c r="D133" s="40" t="n">
        <x:f>D132+B133+C133</x:f>
        <x:v>-669963</x:v>
      </x:c>
      <x:c r="E133" s="40" t="n">
        <x:v>-669963</x:v>
      </x:c>
      <x:c r="F133" s="40" t="n">
        <x:f>D133-E133</x:f>
        <x:v>0</x:v>
      </x:c>
      <x:c r="G133" s="52" t="str">
        <x:f>IF(F133=0,"OK","CHECK GAP")</x:f>
        <x:v>OK</x:v>
      </x:c>
      <x:c r="H133" s="58" t="str">
        <x:v>2.31 BBL</x:v>
      </x:c>
    </x:row>
    <x:row r="134" ht="20" customHeight="1">
      <x:c r="A134" s="43" t="n">
        <x:v>46255</x:v>
      </x:c>
      <x:c r="B134" s="40"/>
      <x:c r="C134" s="40" t="n">
        <x:v>44170</x:v>
      </x:c>
      <x:c r="D134" s="40" t="n">
        <x:f>D133+B134+C134</x:f>
        <x:v>-625793</x:v>
      </x:c>
      <x:c r="E134" s="40" t="n">
        <x:v>-625793</x:v>
      </x:c>
      <x:c r="F134" s="40" t="n">
        <x:f>D134-E134</x:f>
        <x:v>0</x:v>
      </x:c>
      <x:c r="G134" s="52" t="str">
        <x:f>IF(F134=0,"OK","CHECK GAP")</x:f>
        <x:v>OK</x:v>
      </x:c>
      <x:c r="H134" s="58" t="str">
        <x:v>17.35 BBL</x:v>
      </x:c>
    </x:row>
    <x:row r="135" ht="20" customHeight="1">
      <x:c r="A135" s="43" t="n">
        <x:v>46255</x:v>
      </x:c>
      <x:c r="B135" s="40"/>
      <x:c r="C135" s="40" t="n">
        <x:v>49999</x:v>
      </x:c>
      <x:c r="D135" s="40" t="n">
        <x:f>D134+B135+C135</x:f>
        <x:v>-575794</x:v>
      </x:c>
      <x:c r="E135" s="40" t="n">
        <x:v>-575794</x:v>
      </x:c>
      <x:c r="F135" s="40" t="n">
        <x:f>D135-E135</x:f>
        <x:v>0</x:v>
      </x:c>
      <x:c r="G135" s="52" t="str">
        <x:f>IF(F135=0,"OK","CHECK GAP")</x:f>
        <x:v>OK</x:v>
      </x:c>
      <x:c r="H135" s="58" t="str">
        <x:v>17.38 BBL</x:v>
      </x:c>
    </x:row>
    <x:row r="136" ht="20" customHeight="1">
      <x:c r="A136" s="43" t="n">
        <x:v>46255</x:v>
      </x:c>
      <x:c r="B136" s="40"/>
      <x:c r="C136" s="40" t="n">
        <x:v>9270</x:v>
      </x:c>
      <x:c r="D136" s="40" t="n">
        <x:f>D135+B136+C136</x:f>
        <x:v>-566524</x:v>
      </x:c>
      <x:c r="E136" s="40" t="n">
        <x:v>-566524</x:v>
      </x:c>
      <x:c r="F136" s="40" t="n">
        <x:f>D136-E136</x:f>
        <x:v>0</x:v>
      </x:c>
      <x:c r="G136" s="52" t="str">
        <x:f>IF(F136=0,"OK","CHECK GAP")</x:f>
        <x:v>OK</x:v>
      </x:c>
      <x:c r="H136" s="58" t="str">
        <x:v>18.16 BBL</x:v>
      </x:c>
    </x:row>
    <x:row r="137" ht="20" customHeight="1">
      <x:c r="A137" s="43" t="n">
        <x:v>46255</x:v>
      </x:c>
      <x:c r="B137" s="40"/>
      <x:c r="C137" s="40" t="n">
        <x:v>30000</x:v>
      </x:c>
      <x:c r="D137" s="40" t="n">
        <x:f>D136+B137+C137</x:f>
        <x:v>-536524</x:v>
      </x:c>
      <x:c r="E137" s="40" t="n">
        <x:v>-536524</x:v>
      </x:c>
      <x:c r="F137" s="40" t="n">
        <x:f>D137-E137</x:f>
        <x:v>0</x:v>
      </x:c>
      <x:c r="G137" s="52" t="str">
        <x:f>IF(F137=0,"OK","CHECK GAP")</x:f>
        <x:v>OK</x:v>
      </x:c>
      <x:c r="H137" s="58" t="str">
        <x:v>5.41 BBL</x:v>
      </x:c>
    </x:row>
    <x:row r="138" ht="20" customHeight="1">
      <x:c r="A138" s="43" t="n">
        <x:v>46255</x:v>
      </x:c>
      <x:c r="B138" s="40"/>
      <x:c r="C138" s="40" t="n">
        <x:v>15400</x:v>
      </x:c>
      <x:c r="D138" s="40" t="n">
        <x:f>D137+B138+C138</x:f>
        <x:v>-521124</x:v>
      </x:c>
      <x:c r="E138" s="40" t="n">
        <x:v>-521124</x:v>
      </x:c>
      <x:c r="F138" s="40" t="n">
        <x:f>D138-E138</x:f>
        <x:v>0</x:v>
      </x:c>
      <x:c r="G138" s="52" t="str">
        <x:f>IF(F138=0,"OK","CHECK GAP")</x:f>
        <x:v>OK</x:v>
      </x:c>
      <x:c r="H138" s="58" t="str">
        <x:v>19.43 BBL</x:v>
      </x:c>
    </x:row>
    <x:row r="139" ht="20" customHeight="1">
      <x:c r="A139" s="43" t="n">
        <x:v>46255</x:v>
      </x:c>
      <x:c r="B139" s="40"/>
      <x:c r="C139" s="40" t="n">
        <x:v>28000</x:v>
      </x:c>
      <x:c r="D139" s="40" t="n">
        <x:f>D138+B139+C139</x:f>
        <x:v>-493124</x:v>
      </x:c>
      <x:c r="E139" s="40" t="n">
        <x:v>-493124</x:v>
      </x:c>
      <x:c r="F139" s="40" t="n">
        <x:f>D139-E139</x:f>
        <x:v>0</x:v>
      </x:c>
      <x:c r="G139" s="52" t="str">
        <x:f>IF(F139=0,"OK","CHECK GAP")</x:f>
        <x:v>OK</x:v>
      </x:c>
      <x:c r="H139" s="58" t="str">
        <x:v>18.51 BBL</x:v>
      </x:c>
    </x:row>
    <x:row r="140" ht="20" customHeight="1">
      <x:c r="A140" s="43" t="n">
        <x:v>46255</x:v>
      </x:c>
      <x:c r="B140" s="40"/>
      <x:c r="C140" s="40" t="n">
        <x:v>43000</x:v>
      </x:c>
      <x:c r="D140" s="40" t="n">
        <x:f>D139+B140+C140</x:f>
        <x:v>-450124</x:v>
      </x:c>
      <x:c r="E140" s="40" t="n">
        <x:v>-450124</x:v>
      </x:c>
      <x:c r="F140" s="40" t="n">
        <x:f>D140-E140</x:f>
        <x:v>0</x:v>
      </x:c>
      <x:c r="G140" s="52" t="str">
        <x:f>IF(F140=0,"OK","CHECK GAP")</x:f>
        <x:v>OK</x:v>
      </x:c>
      <x:c r="H140" s="58" t="str">
        <x:v>12.00 BBL</x:v>
      </x:c>
    </x:row>
    <x:row r="141" ht="20" customHeight="1">
      <x:c r="A141" s="43" t="n">
        <x:v>46255</x:v>
      </x:c>
      <x:c r="B141" s="40"/>
      <x:c r="C141" s="40" t="n">
        <x:v>39800</x:v>
      </x:c>
      <x:c r="D141" s="40" t="n">
        <x:f>D140+B141+C141</x:f>
        <x:v>-410324</x:v>
      </x:c>
      <x:c r="E141" s="40" t="n">
        <x:v>-410324</x:v>
      </x:c>
      <x:c r="F141" s="40" t="n">
        <x:f>D141-E141</x:f>
        <x:v>0</x:v>
      </x:c>
      <x:c r="G141" s="52" t="str">
        <x:f>IF(F141=0,"OK","CHECK GAP")</x:f>
        <x:v>OK</x:v>
      </x:c>
      <x:c r="H141" s="58" t="str">
        <x:v>12.05 BBL</x:v>
      </x:c>
    </x:row>
    <x:row r="142" ht="20" customHeight="1">
      <x:c r="A142" s="43" t="n">
        <x:v>46255</x:v>
      </x:c>
      <x:c r="B142" s="40"/>
      <x:c r="C142" s="40" t="n">
        <x:v>49900</x:v>
      </x:c>
      <x:c r="D142" s="40" t="n">
        <x:f>D141+B142+C142</x:f>
        <x:v>-360424</x:v>
      </x:c>
      <x:c r="E142" s="40" t="n">
        <x:v>-360424</x:v>
      </x:c>
      <x:c r="F142" s="40" t="n">
        <x:f>D142-E142</x:f>
        <x:v>0</x:v>
      </x:c>
      <x:c r="G142" s="52" t="str">
        <x:f>IF(F142=0,"OK","CHECK GAP")</x:f>
        <x:v>OK</x:v>
      </x:c>
      <x:c r="H142" s="58" t="str">
        <x:v>12.32 BBL</x:v>
      </x:c>
    </x:row>
    <x:row r="143" ht="20" customHeight="1">
      <x:c r="A143" s="43" t="n">
        <x:v>46255</x:v>
      </x:c>
      <x:c r="B143" s="40"/>
      <x:c r="C143" s="40" t="n">
        <x:v>49000</x:v>
      </x:c>
      <x:c r="D143" s="40" t="n">
        <x:f>D142+B143+C143</x:f>
        <x:v>-311424</x:v>
      </x:c>
      <x:c r="E143" s="40" t="n">
        <x:v>-311424</x:v>
      </x:c>
      <x:c r="F143" s="40" t="n">
        <x:f>D143-E143</x:f>
        <x:v>0</x:v>
      </x:c>
      <x:c r="G143" s="52" t="str">
        <x:f>IF(F143=0,"OK","CHECK GAP")</x:f>
        <x:v>OK</x:v>
      </x:c>
      <x:c r="H143" s="58" t="str">
        <x:v>12.47 BBL</x:v>
      </x:c>
    </x:row>
    <x:row r="144" ht="20" customHeight="1">
      <x:c r="A144" s="43" t="n">
        <x:v>46255</x:v>
      </x:c>
      <x:c r="B144" s="40"/>
      <x:c r="C144" s="40" t="n">
        <x:v>20000</x:v>
      </x:c>
      <x:c r="D144" s="40" t="n">
        <x:f>D143+B144+C144</x:f>
        <x:v>-291424</x:v>
      </x:c>
      <x:c r="E144" s="40" t="n">
        <x:v>-291424</x:v>
      </x:c>
      <x:c r="F144" s="40" t="n">
        <x:f>D144-E144</x:f>
        <x:v>0</x:v>
      </x:c>
      <x:c r="G144" s="52" t="str">
        <x:f>IF(F144=0,"OK","CHECK GAP")</x:f>
        <x:v>OK</x:v>
      </x:c>
      <x:c r="H144" s="58" t="str">
        <x:v>13.22 BBL</x:v>
      </x:c>
    </x:row>
    <x:row r="145" ht="20" customHeight="1">
      <x:c r="A145" s="43" t="n">
        <x:v>46255</x:v>
      </x:c>
      <x:c r="B145" s="40"/>
      <x:c r="C145" s="40" t="n">
        <x:v>25100</x:v>
      </x:c>
      <x:c r="D145" s="40" t="n">
        <x:f>D144+B145+C145</x:f>
        <x:v>-266324</x:v>
      </x:c>
      <x:c r="E145" s="40" t="n">
        <x:v>-266324</x:v>
      </x:c>
      <x:c r="F145" s="40" t="n">
        <x:f>D145-E145</x:f>
        <x:v>0</x:v>
      </x:c>
      <x:c r="G145" s="52" t="str">
        <x:f>IF(F145=0,"OK","CHECK GAP")</x:f>
        <x:v>OK</x:v>
      </x:c>
      <x:c r="H145" s="58" t="str">
        <x:v>2.42 BBL</x:v>
      </x:c>
    </x:row>
    <x:row r="146" ht="20" customHeight="1">
      <x:c r="A146" s="43" t="n">
        <x:v>46256</x:v>
      </x:c>
      <x:c r="B146" s="40"/>
      <x:c r="C146" s="40" t="n">
        <x:v>200000</x:v>
      </x:c>
      <x:c r="D146" s="40" t="n">
        <x:f>D145+B146+C146</x:f>
        <x:v>-66324</x:v>
      </x:c>
      <x:c r="E146" s="40" t="n">
        <x:v>-66324</x:v>
      </x:c>
      <x:c r="F146" s="40" t="n">
        <x:f>D146-E146</x:f>
        <x:v>0</x:v>
      </x:c>
      <x:c r="G146" s="52" t="str">
        <x:f>IF(F146=0,"OK","CHECK GAP")</x:f>
        <x:v>OK</x:v>
      </x:c>
      <x:c r="H146" s="58" t="str">
        <x:v>7.30 BBL</x:v>
      </x:c>
    </x:row>
    <x:row r="147" ht="20" customHeight="1">
      <x:c r="A147" s="43" t="n">
        <x:v>46256</x:v>
      </x:c>
      <x:c r="B147" s="40"/>
      <x:c r="C147" s="40" t="n">
        <x:v>17000</x:v>
      </x:c>
      <x:c r="D147" s="40" t="n">
        <x:f>D146+B147+C147</x:f>
        <x:v>-49324</x:v>
      </x:c>
      <x:c r="E147" s="40" t="n">
        <x:v>-49324</x:v>
      </x:c>
      <x:c r="F147" s="40" t="n">
        <x:f>D147-E147</x:f>
        <x:v>0</x:v>
      </x:c>
      <x:c r="G147" s="52" t="str">
        <x:f>IF(F147=0,"OK","CHECK GAP")</x:f>
        <x:v>OK</x:v>
      </x:c>
      <x:c r="H147" s="58" t="str">
        <x:v>6.19 BBL</x:v>
      </x:c>
    </x:row>
    <x:row r="148" ht="20" customHeight="1">
      <x:c r="A148" s="43" t="n">
        <x:v>46256</x:v>
      </x:c>
      <x:c r="B148" s="40"/>
      <x:c r="C148" s="40" t="n">
        <x:v>49000</x:v>
      </x:c>
      <x:c r="D148" s="40" t="n">
        <x:f>D147+B148+C148</x:f>
        <x:v>-324</x:v>
      </x:c>
      <x:c r="E148" s="40" t="n">
        <x:v>-324</x:v>
      </x:c>
      <x:c r="F148" s="40" t="n">
        <x:f>D148-E148</x:f>
        <x:v>0</x:v>
      </x:c>
      <x:c r="G148" s="52" t="str">
        <x:f>IF(F148=0,"OK","CHECK GAP")</x:f>
        <x:v>OK</x:v>
      </x:c>
      <x:c r="H148" s="58" t="str">
        <x:v>8.56 BBL</x:v>
      </x:c>
    </x:row>
    <x:row r="149" ht="20" customHeight="1">
      <x:c r="A149" s="43" t="n">
        <x:v>46255</x:v>
      </x:c>
      <x:c r="B149" s="40"/>
      <x:c r="C149" s="40" t="n">
        <x:v>36340</x:v>
      </x:c>
      <x:c r="D149" s="40" t="n">
        <x:f>D148+B149+C149</x:f>
        <x:v>36016</x:v>
      </x:c>
      <x:c r="E149" s="40" t="n">
        <x:v>36016</x:v>
      </x:c>
      <x:c r="F149" s="40" t="n">
        <x:f>D149-E149</x:f>
        <x:v>0</x:v>
      </x:c>
      <x:c r="G149" s="52" t="str">
        <x:f>IF(F149=0,"OK","CHECK GAP")</x:f>
        <x:v>OK</x:v>
      </x:c>
      <x:c r="H149" s="58" t="str">
        <x:v>14.42 BBL</x:v>
      </x:c>
    </x:row>
    <x:row r="150" ht="20" customHeight="1">
      <x:c r="A150" s="43" t="n">
        <x:v>46255</x:v>
      </x:c>
      <x:c r="B150" s="40"/>
      <x:c r="C150" s="40" t="n">
        <x:v>15340</x:v>
      </x:c>
      <x:c r="D150" s="40" t="n">
        <x:f>D149+B150+C150</x:f>
        <x:v>51356</x:v>
      </x:c>
      <x:c r="E150" s="40" t="n">
        <x:v>51356</x:v>
      </x:c>
      <x:c r="F150" s="40" t="n">
        <x:f>D150-E150</x:f>
        <x:v>0</x:v>
      </x:c>
      <x:c r="G150" s="52" t="str">
        <x:f>IF(F150=0,"OK","CHECK GAP")</x:f>
        <x:v>OK</x:v>
      </x:c>
      <x:c r="H150" s="58" t="str">
        <x:v>1.53 BBL</x:v>
      </x:c>
    </x:row>
    <x:row r="151" ht="20" customHeight="1">
      <x:c r="A151" s="43" t="n">
        <x:v>46255</x:v>
      </x:c>
      <x:c r="B151" s="40"/>
      <x:c r="C151" s="40" t="n">
        <x:v>38000</x:v>
      </x:c>
      <x:c r="D151" s="40" t="n">
        <x:f>D150+B151+C151</x:f>
        <x:v>89356</x:v>
      </x:c>
      <x:c r="E151" s="40" t="n">
        <x:v>89356</x:v>
      </x:c>
      <x:c r="F151" s="40" t="n">
        <x:f>D151-E151</x:f>
        <x:v>0</x:v>
      </x:c>
      <x:c r="G151" s="52" t="str">
        <x:f>IF(F151=0,"OK","CHECK GAP")</x:f>
        <x:v>OK</x:v>
      </x:c>
      <x:c r="H151" s="58" t="str">
        <x:v>1.44 BBL</x:v>
      </x:c>
    </x:row>
    <x:row r="152" ht="20" customHeight="1">
      <x:c r="A152" s="43" t="n">
        <x:v>46257</x:v>
      </x:c>
      <x:c r="B152" s="40" t="n">
        <x:v>-364870</x:v>
      </x:c>
      <x:c r="C152" s="40"/>
      <x:c r="D152" s="40" t="n">
        <x:f>D151+B152+C152</x:f>
        <x:v>-275514</x:v>
      </x:c>
      <x:c r="E152" s="40" t="n">
        <x:v>-275514</x:v>
      </x:c>
      <x:c r="F152" s="40" t="n">
        <x:f>D152-E152</x:f>
        <x:v>0</x:v>
      </x:c>
      <x:c r="G152" s="52" t="str">
        <x:f>IF(F152=0,"OK","CHECK GAP")</x:f>
        <x:v>OK</x:v>
      </x:c>
      <x:c r="H152" s="58"/>
    </x:row>
    <x:row r="153" ht="20" customHeight="1">
      <x:c r="A153" s="43" t="n">
        <x:v>46257</x:v>
      </x:c>
      <x:c r="B153" s="40"/>
      <x:c r="C153" s="40" t="n">
        <x:v>11000</x:v>
      </x:c>
      <x:c r="D153" s="40" t="n">
        <x:f>D152+B153+C153</x:f>
        <x:v>-264514</x:v>
      </x:c>
      <x:c r="E153" s="40" t="n">
        <x:v>-264514</x:v>
      </x:c>
      <x:c r="F153" s="40" t="n">
        <x:f>D153-E153</x:f>
        <x:v>0</x:v>
      </x:c>
      <x:c r="G153" s="52" t="str">
        <x:f>IF(F153=0,"OK","CHECK GAP")</x:f>
        <x:v>OK</x:v>
      </x:c>
      <x:c r="H153" s="58" t="str">
        <x:v>9.57 BBL</x:v>
      </x:c>
    </x:row>
    <x:row r="154" ht="20" customHeight="1">
      <x:c r="A154" s="43" t="n">
        <x:v>46257</x:v>
      </x:c>
      <x:c r="B154" s="40"/>
      <x:c r="C154" s="40" t="n">
        <x:v>49999</x:v>
      </x:c>
      <x:c r="D154" s="40" t="n">
        <x:f>D153+B154+C154</x:f>
        <x:v>-214515</x:v>
      </x:c>
      <x:c r="E154" s="40" t="n">
        <x:v>-214515</x:v>
      </x:c>
      <x:c r="F154" s="40" t="n">
        <x:f>D154-E154</x:f>
        <x:v>0</x:v>
      </x:c>
      <x:c r="G154" s="52" t="str">
        <x:f>IF(F154=0,"OK","CHECK GAP")</x:f>
        <x:v>OK</x:v>
      </x:c>
      <x:c r="H154" s="58" t="str">
        <x:v>10.02 BBL</x:v>
      </x:c>
    </x:row>
    <x:row r="155" ht="20" customHeight="1">
      <x:c r="A155" s="43" t="n">
        <x:v>46257</x:v>
      </x:c>
      <x:c r="B155" s="40"/>
      <x:c r="C155" s="40" t="n">
        <x:v>49998</x:v>
      </x:c>
      <x:c r="D155" s="40" t="n">
        <x:f>D154+B155+C155</x:f>
        <x:v>-164517</x:v>
      </x:c>
      <x:c r="E155" s="40" t="n">
        <x:v>-164517</x:v>
      </x:c>
      <x:c r="F155" s="40" t="n">
        <x:f>D155-E155</x:f>
        <x:v>0</x:v>
      </x:c>
      <x:c r="G155" s="52" t="str">
        <x:f>IF(F155=0,"OK","CHECK GAP")</x:f>
        <x:v>OK</x:v>
      </x:c>
      <x:c r="H155" s="58" t="str">
        <x:v>10.03 BBL</x:v>
      </x:c>
    </x:row>
    <x:row r="156" ht="20" customHeight="1">
      <x:c r="A156" s="43" t="n">
        <x:v>46257</x:v>
      </x:c>
      <x:c r="B156" s="40"/>
      <x:c r="C156" s="40" t="n">
        <x:v>19248</x:v>
      </x:c>
      <x:c r="D156" s="40" t="n">
        <x:f>D155+B156+C156</x:f>
        <x:v>-145269</x:v>
      </x:c>
      <x:c r="E156" s="40" t="n">
        <x:v>-145269</x:v>
      </x:c>
      <x:c r="F156" s="40" t="n">
        <x:f>D156-E156</x:f>
        <x:v>0</x:v>
      </x:c>
      <x:c r="G156" s="52" t="str">
        <x:f>IF(F156=0,"OK","CHECK GAP")</x:f>
        <x:v>OK</x:v>
      </x:c>
      <x:c r="H156" s="58" t="str">
        <x:v>10.04 BBL</x:v>
      </x:c>
    </x:row>
    <x:row r="157" ht="20" customHeight="1">
      <x:c r="A157" s="44" t="n">
        <x:v>46257</x:v>
      </x:c>
      <x:c r="B157" s="41"/>
      <x:c r="C157" s="41" t="n">
        <x:v>200000</x:v>
      </x:c>
      <x:c r="D157" s="41" t="n">
        <x:f>D156+B157+C157</x:f>
        <x:v>54731</x:v>
      </x:c>
      <x:c r="E157" s="41" t="n">
        <x:v>54731</x:v>
      </x:c>
      <x:c r="F157" s="41" t="n">
        <x:f>D157-E157</x:f>
        <x:v>0</x:v>
      </x:c>
      <x:c r="G157" s="53" t="str">
        <x:f>IF(F157=0,"OK","CHECK GAP")</x:f>
        <x:v>OK</x:v>
      </x:c>
      <x:c r="H157" s="59" t="str">
        <x:v>10.43 BBL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f279ecf065e43ec"/>
  </x:tableParts>
</x:worksheet>
</file>